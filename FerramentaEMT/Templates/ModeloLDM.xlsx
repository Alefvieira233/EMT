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Planilha Base" sheetId="2" r:id="rId5"/>
  </sheets>
  <definedNames>
    <definedName name="CAPTALOUNAO">#REF!</definedName>
    <definedName localSheetId="1" name="HIPERMERCADO">#REF!</definedName>
    <definedName localSheetId="1" name="DESTINO">#REF!</definedName>
    <definedName name="ESTADOS">#REF!</definedName>
    <definedName localSheetId="1" name="LOCALIDADES">#REF!</definedName>
    <definedName localSheetId="1" name="ESTADOS">#REF!</definedName>
    <definedName name="Formato_da_Loja">#REF!</definedName>
    <definedName name="DESTINO">#REF!</definedName>
    <definedName localSheetId="1" name="CAPTALOUNAO">#REF!</definedName>
    <definedName localSheetId="1" name="FORMATOS">#REF!</definedName>
    <definedName name="HIPERMERCADO">#REF!</definedName>
    <definedName name="LOCALIDADES">#REF!</definedName>
    <definedName name="FORMATOS">#REF!</definedName>
    <definedName localSheetId="1" name="Formato_da_Loja">#REF!</definedName>
  </definedNames>
  <calcPr/>
  <extLst>
    <ext uri="GoogleSheetsCustomDataVersion2">
      <go:sheetsCustomData xmlns:go="http://customooxmlschemas.google.com/" r:id="rId6" roundtripDataChecksum="sENCauBaoGfeT3vC8yWzbUMdUtSA5PeIvg6lliIwhrA="/>
    </ext>
  </extLst>
</workbook>
</file>

<file path=xl/sharedStrings.xml><?xml version="1.0" encoding="utf-8"?>
<sst xmlns="http://schemas.openxmlformats.org/spreadsheetml/2006/main" count="471" uniqueCount="290">
  <si>
    <t>PROJETO AFRODITE (POUSO ALEGRE, MG)</t>
  </si>
  <si>
    <t>CIVIL - ESTRUTURAS DE CONCRETO E METÁLICO</t>
  </si>
  <si>
    <t xml:space="preserve">LISTA DE MATERIAIS </t>
  </si>
  <si>
    <t>PRÉDIO 4000 - MONOBLOCO</t>
  </si>
  <si>
    <t>R01</t>
  </si>
  <si>
    <t>AJUSTE DE MATERIAIS APÓS COMPATIBILIZAÇÃO</t>
  </si>
  <si>
    <t>BRUNA T.</t>
  </si>
  <si>
    <t>CARLOS N.</t>
  </si>
  <si>
    <t>R00</t>
  </si>
  <si>
    <t>EMISSÃO INICIAL</t>
  </si>
  <si>
    <t xml:space="preserve">FABIO D. </t>
  </si>
  <si>
    <t>REVISÃO</t>
  </si>
  <si>
    <t>MODIFICAÇÃO</t>
  </si>
  <si>
    <t>DATA</t>
  </si>
  <si>
    <t>AUTOR</t>
  </si>
  <si>
    <t>APROVAÇÃO</t>
  </si>
  <si>
    <t>CLIENTE</t>
  </si>
  <si>
    <t>EMPREENDIMENTO</t>
  </si>
  <si>
    <t>GRUPO BOTICÁRIO - PROJETO AFRODITE</t>
  </si>
  <si>
    <t>POUSO ALEGRE - MG</t>
  </si>
  <si>
    <t xml:space="preserve">PROJETISTA
</t>
  </si>
  <si>
    <t>FASE DO PROJETO</t>
  </si>
  <si>
    <t>RESPONSÁVEL PROJETISTA</t>
  </si>
  <si>
    <t>PROJETO BÁSICO</t>
  </si>
  <si>
    <t>WESLEY DE BRITO</t>
  </si>
  <si>
    <t>CREA PR-99765/D</t>
  </si>
  <si>
    <t>CÓDIGO DO PROJETO</t>
  </si>
  <si>
    <t>AFR-CIV-LDM-4000-001</t>
  </si>
  <si>
    <t>01</t>
  </si>
  <si>
    <t>OBRA:</t>
  </si>
  <si>
    <t>DATA:</t>
  </si>
  <si>
    <t>Item</t>
  </si>
  <si>
    <t xml:space="preserve">Relação Orientativa de Materiais     </t>
  </si>
  <si>
    <t>Unidade</t>
  </si>
  <si>
    <t>Quantidade</t>
  </si>
  <si>
    <t>1</t>
  </si>
  <si>
    <t>ESTRUTURA DE CONCRETO</t>
  </si>
  <si>
    <t>1.1</t>
  </si>
  <si>
    <t>ESTRUTURA DE CONCRETO - PRÉDIO 4000 - MONOBLOCO</t>
  </si>
  <si>
    <t>1.1.1</t>
  </si>
  <si>
    <t>Consolo de concreto pré-moldado - fck = 40MPa</t>
  </si>
  <si>
    <t>m³</t>
  </si>
  <si>
    <t>1.1.2</t>
  </si>
  <si>
    <t>Pilar estrutural seção retangular de concreto pré-moldado - fck = 40MPa</t>
  </si>
  <si>
    <t>1.1.3</t>
  </si>
  <si>
    <t>Viga estrutural de concreto pré-moldado - fck = 40MPa</t>
  </si>
  <si>
    <t>1.1.4</t>
  </si>
  <si>
    <t>Viga estrutural de concreto moldado in loco - fck = 30MPa</t>
  </si>
  <si>
    <t>1.1.5</t>
  </si>
  <si>
    <t>Fundação cálice retangular de concreto moldado in loco - fck = 30MPa</t>
  </si>
  <si>
    <t>1.1.6</t>
  </si>
  <si>
    <t>Fundação retangular de concreto moldado in loco - fck = 30MPa</t>
  </si>
  <si>
    <t>1.1.7</t>
  </si>
  <si>
    <t>Área de forma - Fundação cálice retangular de concreto moldado in loco - fck = 30MPa</t>
  </si>
  <si>
    <t>m²</t>
  </si>
  <si>
    <t>1.1.8</t>
  </si>
  <si>
    <t>Área de forma - Fundação retangular de concreto moldado in loco - fck = 30MPa</t>
  </si>
  <si>
    <t>1.1.9</t>
  </si>
  <si>
    <t>Armaduras estimadas - Pilar estrutural seção retangular de concreto pré-moldado</t>
  </si>
  <si>
    <t>kg</t>
  </si>
  <si>
    <t>1.1.10</t>
  </si>
  <si>
    <t>Armaduras estimadas - Viga estrutural de concreto moldado in loco</t>
  </si>
  <si>
    <t>1.1.11</t>
  </si>
  <si>
    <t>Armaduras passivas estimadas - Viga estrutural seção retangular de concreto pré-moldado</t>
  </si>
  <si>
    <t>1.1.12</t>
  </si>
  <si>
    <t>Armaduras de continuidade das vigas estimadas - 6 Ø 25 mm</t>
  </si>
  <si>
    <t>1.1.13</t>
  </si>
  <si>
    <t>Armaduras estimadas - Fundação cálice retangular de concreto moldado in loco</t>
  </si>
  <si>
    <t>1.1.14</t>
  </si>
  <si>
    <t>Armaduras estimadas - Fundação retangular de concreto moldado in loco</t>
  </si>
  <si>
    <t>1.1.15</t>
  </si>
  <si>
    <t>Emendas em pilares por luvas ou bainhas para armaduras de continuidade</t>
  </si>
  <si>
    <t>un</t>
  </si>
  <si>
    <t>1.1.16</t>
  </si>
  <si>
    <t>Armaduras ativas estimadas - Viga estrutural seção retangular de concreto pré-moldado</t>
  </si>
  <si>
    <t>1.1.17</t>
  </si>
  <si>
    <t>Laje alveolar de concreto pré-moldado 120x20 - fck = 40MPa</t>
  </si>
  <si>
    <t>1.1.18</t>
  </si>
  <si>
    <t>Laje alveolar de concreto pré-moldado 120x26.5 - fck = 40MPa</t>
  </si>
  <si>
    <t>1.1.19</t>
  </si>
  <si>
    <t>Volume de concreto estimado para a capa da laje - fck = 30 MPa</t>
  </si>
  <si>
    <t>1.1.20</t>
  </si>
  <si>
    <t>Enchimento EPS ou XPS de alta densidade (14cm)</t>
  </si>
  <si>
    <t>1.1.21</t>
  </si>
  <si>
    <t>Armaduras estimadas - Capa de laje alveolar (continuidade e chaveteamento)</t>
  </si>
  <si>
    <t>1.1.22</t>
  </si>
  <si>
    <t>Tela soldada estimada para a capa das lajes - Q-196</t>
  </si>
  <si>
    <t>1.1.23</t>
  </si>
  <si>
    <t>Grauteamento: execução do grauteamento das peças prémoldadas nas ligações dos pinos, nas extremidades das vigas e nas bainhas de emenda dos pilares.</t>
  </si>
  <si>
    <t>1.1.24</t>
  </si>
  <si>
    <t>Acabamentos: aplicação de neoprene nas peças prémoldadas.</t>
  </si>
  <si>
    <t>1.1.25</t>
  </si>
  <si>
    <t>Acabamentos: execução de juntas nas peças prémoldadas.</t>
  </si>
  <si>
    <t>m</t>
  </si>
  <si>
    <t>1.1.26</t>
  </si>
  <si>
    <t>Escadas de concreto pré-moldado - fck = 40 MPa</t>
  </si>
  <si>
    <t>1.1.27</t>
  </si>
  <si>
    <t>Armaduras estimadas - Escadas de concreto pré-moldado</t>
  </si>
  <si>
    <t>1.1.28</t>
  </si>
  <si>
    <t>Rampas de concreto pré-moldado - fck = 40 MPa</t>
  </si>
  <si>
    <t>1.1.29</t>
  </si>
  <si>
    <t>Armaduras estimadas - Rampas de concreto pré-moldado</t>
  </si>
  <si>
    <t>1.1.30</t>
  </si>
  <si>
    <t>Lastro de concreto magro para viga moldada in loco - fck = 10MPa</t>
  </si>
  <si>
    <t>1.1.31</t>
  </si>
  <si>
    <t>Lastro de concreto magro para fundação cálice retangular de concreto moldado in loco - fck = 10MPa</t>
  </si>
  <si>
    <t>1.1.32</t>
  </si>
  <si>
    <t>Lastro de concreto magro para fundação retangular de concreto moldado in loco - fck = 10MPa</t>
  </si>
  <si>
    <t>1.2</t>
  </si>
  <si>
    <t>ESTRUTURA DE CONCRETO - PRÉDIO 4000 - MATÉRIA PRIMA</t>
  </si>
  <si>
    <t>1.2.1</t>
  </si>
  <si>
    <t>1.2.2</t>
  </si>
  <si>
    <t>Painel estrutural retangular de concreto pré-moldado - fck = 40MPa</t>
  </si>
  <si>
    <t>1.2.3</t>
  </si>
  <si>
    <t>Armaduras estimadas - Painel estrutural retangular de concreto pré-moldado</t>
  </si>
  <si>
    <t>1.2.4</t>
  </si>
  <si>
    <t>Pilar estrutural de concreto pré-moldado - fck=40MPa</t>
  </si>
  <si>
    <t>1.2.5</t>
  </si>
  <si>
    <t>Armaduras estimadas - Pilar estrutural de concreto pré-moldado</t>
  </si>
  <si>
    <t>1.2.6</t>
  </si>
  <si>
    <t>Pilar estrutural  de concreto moldado in loco - fck=30MPa</t>
  </si>
  <si>
    <t>1.2.7</t>
  </si>
  <si>
    <t>Armaduras estimadas - Pilar estrutural de concreto moldado in loco</t>
  </si>
  <si>
    <t>1.2.8</t>
  </si>
  <si>
    <t>Viga estrutural de concreto pré-moldado - fck=40MPa</t>
  </si>
  <si>
    <t>1.2.9</t>
  </si>
  <si>
    <t>Armaduras passivas estimadas - Viga estrutural de concreto pré-moldado</t>
  </si>
  <si>
    <t>1.2.10</t>
  </si>
  <si>
    <t>Armaduras ativas estimadas - Viga estrutural de concreto pré-moldado</t>
  </si>
  <si>
    <t>1.2.11</t>
  </si>
  <si>
    <t>1.2.12</t>
  </si>
  <si>
    <t>Área de forma - Viga estrutural seção retangular de concreto moldado in loco - fck = 30MPa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</si>
  <si>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</si>
  <si>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</si>
  <si>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</si>
  <si>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</si>
  <si>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</si>
  <si>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</si>
  <si>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</si>
  <si>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</si>
  <si>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</si>
  <si>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</si>
  <si>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Lastro de concreto magro para viga baldrame - fck = 10MPa</t>
  </si>
  <si>
    <t>1.2.23</t>
  </si>
  <si>
    <t>1.2.24</t>
  </si>
  <si>
    <t>1.2.25</t>
  </si>
  <si>
    <t>Lastro de concreto magro para nichos de concreto pré-moldado - fck = 10MPa</t>
  </si>
  <si>
    <t>1.2.26</t>
  </si>
  <si>
    <t>1.2.27</t>
  </si>
  <si>
    <t>1.2.28</t>
  </si>
  <si>
    <t>2</t>
  </si>
  <si>
    <t>ETRUTURA METÁLICA</t>
  </si>
  <si>
    <t>ESTRUTURA METÁLICA DE COBERTURA - PRÉDIO 4000 - MONOBLOCO</t>
  </si>
  <si>
    <t>2.1.3</t>
  </si>
  <si>
    <t>CS 400x137 Aço ASTM - A572 GR50</t>
  </si>
  <si>
    <t>2.1.2</t>
  </si>
  <si>
    <t xml:space="preserve">VM - CS 250x86 AÇO ASTM - A572 GR50 </t>
  </si>
  <si>
    <t>2.1.1</t>
  </si>
  <si>
    <t xml:space="preserve">VM - CS 350x93- CS 3 AÇO ASTM - A572 GR50 </t>
  </si>
  <si>
    <t>2.1.0</t>
  </si>
  <si>
    <t>VM - CS 350x93 - 250x86 Aço ASTM - A572 GR50</t>
  </si>
  <si>
    <t>VM - CS 400x106 Aço ASTM A 572 GR. 50</t>
  </si>
  <si>
    <t>VM - CS 500x133 Aço ASTM A 572 GR.50</t>
  </si>
  <si>
    <t>VM - CS 500x133 - 250x86 Aço ASTM A 572 GR.50</t>
  </si>
  <si>
    <t>2.1.4</t>
  </si>
  <si>
    <t>VM - CS 500x133 - 400x106 Aço ASTM A 572 GR.50</t>
  </si>
  <si>
    <t>W 250x22.3 Aço ASTM A572 GR.50</t>
  </si>
  <si>
    <t>2.1.5</t>
  </si>
  <si>
    <t>W 310x23.8 Aço ASTM A572 GR.50</t>
  </si>
  <si>
    <t>2.1.6</t>
  </si>
  <si>
    <t>Z90 300X85X25X3.00 Aço ZAR400</t>
  </si>
  <si>
    <t>2.1.7</t>
  </si>
  <si>
    <t>CHAPAS E ACESSÓRIOS (ASTM A36)</t>
  </si>
  <si>
    <t>2.2</t>
  </si>
  <si>
    <t>ESTRUTURA METÁLICA FORRO TÉRREO - PRÉDIO 4000 - MONOBLOCO</t>
  </si>
  <si>
    <t>2.2.1</t>
  </si>
  <si>
    <t>CVS500X350X8X16 Aço ASTM A 572 GR.50</t>
  </si>
  <si>
    <t>2.2.2</t>
  </si>
  <si>
    <t>TB.100X100X3.0 Aço ASTM A 572 GR.50</t>
  </si>
  <si>
    <t>2.2.3</t>
  </si>
  <si>
    <t>W 360x32.9 Aço ASTM A572 GR.50</t>
  </si>
  <si>
    <t>2.2.4</t>
  </si>
  <si>
    <t>2.3</t>
  </si>
  <si>
    <t>ESTRUTURA METÁLICA FORRO PRIMEIRO PAVIMENTO - PRÉDIO 4000 - MONOBLOCO</t>
  </si>
  <si>
    <t>2.3.1</t>
  </si>
  <si>
    <t>2.3.2</t>
  </si>
  <si>
    <t>2.3.3</t>
  </si>
  <si>
    <t>2.3.4</t>
  </si>
  <si>
    <t>2.4</t>
  </si>
  <si>
    <t>ESTRUTURA METÁLICA DE COBERTURA - PRÉDIO 4000 - MATÉRIA PRIMA</t>
  </si>
  <si>
    <t>2.4.1</t>
  </si>
  <si>
    <t xml:space="preserve">Ue 240X85X30X2.00 mm - Aço civil 300 </t>
  </si>
  <si>
    <t>2.4.2</t>
  </si>
  <si>
    <t xml:space="preserve">Ue 240x85X30X2.25 mm - Aço civil 300 </t>
  </si>
  <si>
    <t>2.4.3</t>
  </si>
  <si>
    <t>HP310X93 Aço ASTM A 572 GR.50</t>
  </si>
  <si>
    <t>2.4.4</t>
  </si>
  <si>
    <t>2.4.5</t>
  </si>
  <si>
    <t>U250X100X4.75 mm - Aço civil 300</t>
  </si>
  <si>
    <t>2.4.6</t>
  </si>
  <si>
    <t>W150X22.5 Aço ASTM A 572 GR.50</t>
  </si>
  <si>
    <t>2.4.7</t>
  </si>
  <si>
    <t>W200X22.5 Aço ASTM A 572 GR.51</t>
  </si>
  <si>
    <t>2.4.8</t>
  </si>
  <si>
    <t>W250X22.3 Aço ASTM A 572 GR.50</t>
  </si>
  <si>
    <t>2.4.9</t>
  </si>
  <si>
    <t>W250X32.7 Aço ASTM A 572 GR.50</t>
  </si>
  <si>
    <t>2.4.10</t>
  </si>
  <si>
    <t>W310X23.8 Aço ASTM A 572 GR.50</t>
  </si>
  <si>
    <t>2.4.11</t>
  </si>
  <si>
    <t>2.4.12</t>
  </si>
  <si>
    <t xml:space="preserve">Escada metálica para acesso </t>
  </si>
  <si>
    <t>vb</t>
  </si>
  <si>
    <t>ESTRUTURA METÁLICA MARQUISE - PRÉDIO 4000 - MATÉRIA PRIMA</t>
  </si>
  <si>
    <t xml:space="preserve">HSS 200X4.75 - Aço civil 300 </t>
  </si>
  <si>
    <t>L 1.1/2" x 1/8" ASTM A572 GR50</t>
  </si>
  <si>
    <t>U 200x75x4.75 Aço civil 300</t>
  </si>
  <si>
    <t>Ue 300x85x25x3.00 Aço civil 300</t>
  </si>
  <si>
    <t>2.2.5</t>
  </si>
  <si>
    <t>W410X38.8 ASTM A572 GR50</t>
  </si>
  <si>
    <t>2.2.6</t>
  </si>
  <si>
    <t>3</t>
  </si>
  <si>
    <t>PISO</t>
  </si>
  <si>
    <t>3.1</t>
  </si>
  <si>
    <t>PISO ESP. 12CM - FABRICAÇÃO</t>
  </si>
  <si>
    <t>3.1.1</t>
  </si>
  <si>
    <t xml:space="preserve">Escavação para caixa de piso </t>
  </si>
  <si>
    <t>3.1.2</t>
  </si>
  <si>
    <t>Compactação de subleito 95% P.N</t>
  </si>
  <si>
    <t>3.1.3</t>
  </si>
  <si>
    <t>Reaterro</t>
  </si>
  <si>
    <t>3.1.4</t>
  </si>
  <si>
    <t>Bota-fora de solos</t>
  </si>
  <si>
    <t>3.1.5</t>
  </si>
  <si>
    <t xml:space="preserve">Reforço de subleito - deverá ser preparado em camadas com GC ≥ 95% Proctor Normal e GC ≥ 98% Proctor Normal na última camada </t>
  </si>
  <si>
    <t>3.1.6</t>
  </si>
  <si>
    <t>Sub-base em brita graduada simples, Faixa B - DNIT - considerado empolamento do material</t>
  </si>
  <si>
    <t>3.1.7</t>
  </si>
  <si>
    <t>Lona plástica 200 micras</t>
  </si>
  <si>
    <t>3.1.8</t>
  </si>
  <si>
    <t>Concreto fck ≥ 30 MPa -  fctM,k ≥ 4,2 MPa</t>
  </si>
  <si>
    <t>3.1.9</t>
  </si>
  <si>
    <t>Tela Soldada superior Q196</t>
  </si>
  <si>
    <t>3.1.10</t>
  </si>
  <si>
    <t>Barra de transferência 20MM C/30CM, C&gt; 35 CM</t>
  </si>
  <si>
    <t>3.1.11</t>
  </si>
  <si>
    <t>Espaçador soldado h=8cm</t>
  </si>
  <si>
    <t>3.1.12</t>
  </si>
  <si>
    <t xml:space="preserve">Espaçador tipo w 8cm </t>
  </si>
  <si>
    <t>3.1.13</t>
  </si>
  <si>
    <t>Endurecedor de superfície l[iquido ou aspersão de agregados minerais (4,0kg/m²)</t>
  </si>
  <si>
    <t>3.1.14</t>
  </si>
  <si>
    <t>Juntas de encontro</t>
  </si>
  <si>
    <t>3.1.15</t>
  </si>
  <si>
    <t>Juntas serradas</t>
  </si>
  <si>
    <t>3.1.16</t>
  </si>
  <si>
    <t>Juntas de construção</t>
  </si>
  <si>
    <t>3.1.17</t>
  </si>
  <si>
    <t>Aço CA-50 para reforço</t>
  </si>
  <si>
    <t>3.2</t>
  </si>
  <si>
    <t>PISO ESP. 24CM - DEPÓSITO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</si>
  <si>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</si>
  <si>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</si>
  <si>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</si>
  <si>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</si>
  <si>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</si>
  <si>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</si>
  <si>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</si>
  <si>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</si>
  <si>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</si>
  <si>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Tela Soldada superior e inferior Q396</t>
  </si>
  <si>
    <t>3.2.10</t>
  </si>
  <si>
    <t>Barra de transferência 32MM C/30CM, C&gt; 45 CM</t>
  </si>
  <si>
    <t>3.2.11</t>
  </si>
  <si>
    <t>Espaçador soldado h=11cm</t>
  </si>
  <si>
    <t>3.2.12</t>
  </si>
  <si>
    <t xml:space="preserve">Espaçador tipo w 16cm </t>
  </si>
  <si>
    <t>3.2.13</t>
  </si>
  <si>
    <t>Espaçador plástico h=2cm</t>
  </si>
  <si>
    <t>3.2.14</t>
  </si>
  <si>
    <t>3.2.15</t>
  </si>
  <si>
    <t>3.2.16</t>
  </si>
  <si>
    <t>3.2.17</t>
  </si>
  <si>
    <t>3.2.18</t>
  </si>
  <si>
    <t>3.3</t>
  </si>
  <si>
    <t>PISO ESP. 5CM  - CAPEAMENTO</t>
  </si>
  <si>
    <t>3.3.1</t>
  </si>
  <si>
    <t>3.3.2</t>
  </si>
  <si>
    <t>3.3.3</t>
  </si>
  <si>
    <t>3.3.4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</si>
</sst>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_(* #,##0.00_);_(* \(#,##0.00\);_(* &quot;-&quot;??_);_(@_)"/>
    <numFmt numFmtId="167" formatCode="d\.m"/>
  </numFmts>
  <fonts count="21">
    <font>
      <sz val="10.0"/>
      <color rgb="FF000000"/>
      <name val="Calibri"/>
      <scheme val="minor"/>
    </font>
    <font>
      <b/>
      <sz val="12.0"/>
      <color theme="1"/>
      <name val="Arial"/>
    </font>
    <font>
      <sz val="10.0"/>
      <color rgb="FF000000"/>
      <name val="Arial"/>
    </font>
    <font>
      <b/>
      <sz val="16.0"/>
      <color rgb="FF000000"/>
      <name val="Arial"/>
    </font>
    <font/>
    <font>
      <sz val="10.0"/>
      <color theme="1"/>
      <name val="Arial"/>
    </font>
    <font>
      <sz val="6.0"/>
      <color theme="1"/>
      <name val="Arial"/>
    </font>
    <font>
      <sz val="7.0"/>
      <color rgb="FF000000"/>
      <name val="Arial"/>
    </font>
    <font>
      <sz val="8.0"/>
      <color theme="1"/>
      <name val="Arial"/>
    </font>
    <font>
      <i/>
      <sz val="10.0"/>
      <color theme="1"/>
      <name val="Arial"/>
    </font>
    <font>
      <i/>
      <sz val="8.0"/>
      <color theme="1"/>
      <name val="Arial"/>
    </font>
    <font>
      <b/>
      <sz val="10.0"/>
      <color theme="1"/>
      <name val="Arial"/>
    </font>
    <font>
      <b/>
      <sz val="10.0"/>
      <color rgb="FF000066"/>
      <name val="Arial"/>
    </font>
    <font>
      <b/>
      <sz val="10.0"/>
      <color rgb="FFFF0000"/>
      <name val="Arial"/>
    </font>
    <font>
      <b/>
      <sz val="10.0"/>
      <color theme="1"/>
      <name val="Arial Narrow"/>
    </font>
    <font>
      <sz val="10.0"/>
      <color theme="1"/>
      <name val="Arial Narrow"/>
    </font>
    <font>
      <b/>
      <sz val="10.0"/>
      <color rgb="FF000000"/>
      <name val="Arial"/>
    </font>
    <font>
      <sz val="10.0"/>
      <color rgb="FF000000"/>
      <name val="Calibri"/>
    </font>
    <font>
      <color theme="1"/>
      <name val="Arial"/>
    </font>
    <font>
      <sz val="10.0"/>
      <color theme="1"/>
      <name val="Calibri"/>
    </font>
    <font>
      <sz val="10.0"/>
      <color rgb="FFFF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9CCFF"/>
        <bgColor rgb="FF99CCFF"/>
      </patternFill>
    </fill>
    <fill>
      <patternFill patternType="solid">
        <fgColor rgb="FFFABF8F"/>
        <bgColor rgb="FFFABF8F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/>
      <right style="medium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0" fillId="0" fontId="2" numFmtId="0" xfId="0" applyFont="1"/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/>
    </xf>
    <xf borderId="5" fillId="0" fontId="4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0" fillId="0" fontId="7" numFmtId="0" xfId="0" applyFont="1"/>
    <xf borderId="9" fillId="0" fontId="8" numFmtId="0" xfId="0" applyAlignment="1" applyBorder="1" applyFont="1">
      <alignment horizontal="center" shrinkToFit="0" wrapText="1"/>
    </xf>
    <xf borderId="11" fillId="0" fontId="8" numFmtId="164" xfId="0" applyAlignment="1" applyBorder="1" applyFont="1" applyNumberFormat="1">
      <alignment horizontal="center" readingOrder="0" shrinkToFit="0" wrapText="1"/>
    </xf>
    <xf borderId="12" fillId="0" fontId="8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shrinkToFit="0" wrapText="1"/>
    </xf>
    <xf quotePrefix="1" borderId="9" fillId="0" fontId="8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top" wrapText="1"/>
    </xf>
    <xf borderId="3" fillId="0" fontId="4" numFmtId="0" xfId="0" applyBorder="1" applyFont="1"/>
    <xf borderId="0" fillId="0" fontId="8" numFmtId="0" xfId="0" applyAlignment="1" applyFont="1">
      <alignment horizontal="left" shrinkToFit="0" vertical="center" wrapText="1"/>
    </xf>
    <xf borderId="4" fillId="0" fontId="4" numFmtId="0" xfId="0" applyBorder="1" applyFont="1"/>
    <xf borderId="0" fillId="0" fontId="9" numFmtId="0" xfId="0" applyAlignment="1" applyFont="1">
      <alignment shrinkToFit="0" vertical="center" wrapText="1"/>
    </xf>
    <xf borderId="5" fillId="0" fontId="2" numFmtId="0" xfId="0" applyBorder="1" applyFont="1"/>
    <xf borderId="6" fillId="0" fontId="4" numFmtId="0" xfId="0" applyBorder="1" applyFont="1"/>
    <xf borderId="8" fillId="0" fontId="4" numFmtId="0" xfId="0" applyBorder="1" applyFont="1"/>
    <xf borderId="7" fillId="0" fontId="9" numFmtId="0" xfId="0" applyAlignment="1" applyBorder="1" applyFont="1">
      <alignment shrinkToFit="0" vertical="center" wrapText="1"/>
    </xf>
    <xf borderId="7" fillId="0" fontId="4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7" fillId="0" fontId="10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shrinkToFit="0" vertical="top" wrapText="1"/>
    </xf>
    <xf quotePrefix="1" borderId="7" fillId="0" fontId="5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right" shrinkToFit="1" vertical="center" wrapText="0"/>
    </xf>
    <xf borderId="14" fillId="0" fontId="12" numFmtId="0" xfId="0" applyAlignment="1" applyBorder="1" applyFont="1">
      <alignment horizontal="left" shrinkToFit="0" vertical="center" wrapText="1"/>
    </xf>
    <xf borderId="15" fillId="0" fontId="13" numFmtId="0" xfId="0" applyAlignment="1" applyBorder="1" applyFont="1">
      <alignment horizontal="center" vertical="center"/>
    </xf>
    <xf borderId="16" fillId="0" fontId="4" numFmtId="0" xfId="0" applyBorder="1" applyFont="1"/>
    <xf borderId="0" fillId="0" fontId="5" numFmtId="0" xfId="0" applyAlignment="1" applyFont="1">
      <alignment vertical="center"/>
    </xf>
    <xf borderId="17" fillId="0" fontId="4" numFmtId="0" xfId="0" applyBorder="1" applyFont="1"/>
    <xf borderId="18" fillId="0" fontId="4" numFmtId="0" xfId="0" applyBorder="1" applyFont="1"/>
    <xf borderId="15" fillId="0" fontId="11" numFmtId="0" xfId="0" applyAlignment="1" applyBorder="1" applyFont="1">
      <alignment horizontal="right" vertical="center"/>
    </xf>
    <xf borderId="16" fillId="0" fontId="13" numFmtId="165" xfId="0" applyAlignment="1" applyBorder="1" applyFont="1" applyNumberFormat="1">
      <alignment horizontal="center" readingOrder="0" vertical="center"/>
    </xf>
    <xf borderId="19" fillId="2" fontId="11" numFmtId="166" xfId="0" applyAlignment="1" applyBorder="1" applyFill="1" applyFont="1" applyNumberFormat="1">
      <alignment horizontal="center" vertical="center"/>
    </xf>
    <xf quotePrefix="1" borderId="20" fillId="2" fontId="11" numFmtId="0" xfId="0" applyAlignment="1" applyBorder="1" applyFont="1">
      <alignment horizontal="center" shrinkToFit="0" vertical="center" wrapText="1"/>
    </xf>
    <xf borderId="19" fillId="2" fontId="11" numFmtId="49" xfId="0" applyAlignment="1" applyBorder="1" applyFont="1" applyNumberFormat="1">
      <alignment horizontal="center" vertical="center"/>
    </xf>
    <xf borderId="21" fillId="2" fontId="11" numFmtId="3" xfId="0" applyAlignment="1" applyBorder="1" applyFont="1" applyNumberFormat="1">
      <alignment horizontal="center" vertical="center"/>
    </xf>
    <xf borderId="0" fillId="0" fontId="5" numFmtId="166" xfId="0" applyAlignment="1" applyFont="1" applyNumberFormat="1">
      <alignment vertical="center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3" fontId="11" numFmtId="49" xfId="0" applyAlignment="1" applyBorder="1" applyFill="1" applyFont="1" applyNumberFormat="1">
      <alignment horizontal="center" vertical="center"/>
    </xf>
    <xf borderId="25" fillId="3" fontId="11" numFmtId="0" xfId="0" applyAlignment="1" applyBorder="1" applyFont="1">
      <alignment horizontal="left" shrinkToFit="0" vertical="center" wrapText="1"/>
    </xf>
    <xf borderId="25" fillId="3" fontId="11" numFmtId="4" xfId="0" applyAlignment="1" applyBorder="1" applyFont="1" applyNumberFormat="1">
      <alignment horizontal="right" vertical="center"/>
    </xf>
    <xf borderId="25" fillId="3" fontId="11" numFmtId="3" xfId="0" applyAlignment="1" applyBorder="1" applyFont="1" applyNumberFormat="1">
      <alignment horizontal="center" vertical="center"/>
    </xf>
    <xf borderId="0" fillId="0" fontId="14" numFmtId="166" xfId="0" applyAlignment="1" applyFont="1" applyNumberFormat="1">
      <alignment vertical="center"/>
    </xf>
    <xf borderId="26" fillId="4" fontId="11" numFmtId="49" xfId="0" applyAlignment="1" applyBorder="1" applyFill="1" applyFont="1" applyNumberFormat="1">
      <alignment horizontal="center" vertical="center"/>
    </xf>
    <xf borderId="26" fillId="4" fontId="11" numFmtId="0" xfId="0" applyAlignment="1" applyBorder="1" applyFont="1">
      <alignment shrinkToFit="0" vertical="center" wrapText="1"/>
    </xf>
    <xf borderId="26" fillId="4" fontId="11" numFmtId="166" xfId="0" applyAlignment="1" applyBorder="1" applyFont="1" applyNumberFormat="1">
      <alignment horizontal="center" vertical="center"/>
    </xf>
    <xf borderId="26" fillId="4" fontId="11" numFmtId="3" xfId="0" applyAlignment="1" applyBorder="1" applyFont="1" applyNumberFormat="1">
      <alignment horizontal="center" vertical="center"/>
    </xf>
    <xf borderId="0" fillId="0" fontId="15" numFmtId="166" xfId="0" applyAlignment="1" applyFont="1" applyNumberFormat="1">
      <alignment vertical="center"/>
    </xf>
    <xf borderId="26" fillId="5" fontId="16" numFmtId="0" xfId="0" applyAlignment="1" applyBorder="1" applyFill="1" applyFont="1">
      <alignment horizontal="center" readingOrder="1" shrinkToFit="0" wrapText="1"/>
    </xf>
    <xf borderId="26" fillId="5" fontId="16" numFmtId="0" xfId="0" applyAlignment="1" applyBorder="1" applyFont="1">
      <alignment horizontal="left" readingOrder="1" shrinkToFit="0" wrapText="1"/>
    </xf>
    <xf borderId="26" fillId="5" fontId="17" numFmtId="0" xfId="0" applyAlignment="1" applyBorder="1" applyFont="1">
      <alignment horizontal="left" readingOrder="1" shrinkToFit="0" wrapText="1"/>
    </xf>
    <xf borderId="26" fillId="0" fontId="5" numFmtId="49" xfId="0" applyAlignment="1" applyBorder="1" applyFont="1" applyNumberFormat="1">
      <alignment horizontal="center" vertical="center"/>
    </xf>
    <xf borderId="26" fillId="0" fontId="5" numFmtId="49" xfId="0" applyAlignment="1" applyBorder="1" applyFont="1" applyNumberFormat="1">
      <alignment shrinkToFit="0" vertical="center" wrapText="1"/>
    </xf>
    <xf borderId="26" fillId="0" fontId="5" numFmtId="166" xfId="0" applyAlignment="1" applyBorder="1" applyFont="1" applyNumberFormat="1">
      <alignment horizontal="center" vertical="center"/>
    </xf>
    <xf borderId="26" fillId="6" fontId="5" numFmtId="4" xfId="0" applyAlignment="1" applyBorder="1" applyFill="1" applyFont="1" applyNumberFormat="1">
      <alignment horizontal="right" vertical="center"/>
    </xf>
    <xf borderId="27" fillId="0" fontId="5" numFmtId="49" xfId="0" applyAlignment="1" applyBorder="1" applyFont="1" applyNumberFormat="1">
      <alignment shrinkToFit="0" vertical="center" wrapText="1"/>
    </xf>
    <xf borderId="28" fillId="0" fontId="5" numFmtId="49" xfId="0" applyAlignment="1" applyBorder="1" applyFont="1" applyNumberFormat="1">
      <alignment shrinkToFit="0" vertical="center" wrapText="1"/>
    </xf>
    <xf borderId="26" fillId="0" fontId="5" numFmtId="49" xfId="0" applyAlignment="1" applyBorder="1" applyFont="1" applyNumberFormat="1">
      <alignment readingOrder="0" shrinkToFit="0" vertical="center" wrapText="1"/>
    </xf>
    <xf borderId="26" fillId="0" fontId="5" numFmtId="166" xfId="0" applyAlignment="1" applyBorder="1" applyFont="1" applyNumberFormat="1">
      <alignment horizontal="center" readingOrder="0" vertical="center"/>
    </xf>
    <xf borderId="26" fillId="6" fontId="5" numFmtId="4" xfId="0" applyAlignment="1" applyBorder="1" applyFont="1" applyNumberFormat="1">
      <alignment horizontal="right" readingOrder="0" vertical="center"/>
    </xf>
    <xf borderId="28" fillId="0" fontId="5" numFmtId="49" xfId="0" applyAlignment="1" applyBorder="1" applyFont="1" applyNumberFormat="1">
      <alignment readingOrder="0" shrinkToFit="0" vertical="center" wrapText="1"/>
    </xf>
    <xf borderId="26" fillId="5" fontId="16" numFmtId="0" xfId="0" applyAlignment="1" applyBorder="1" applyFont="1">
      <alignment horizontal="center" readingOrder="1" shrinkToFit="0" vertical="center" wrapText="1"/>
    </xf>
    <xf borderId="26" fillId="5" fontId="16" numFmtId="0" xfId="0" applyAlignment="1" applyBorder="1" applyFont="1">
      <alignment horizontal="left" readingOrder="1" shrinkToFit="0" vertical="center" wrapText="1"/>
    </xf>
    <xf borderId="26" fillId="5" fontId="17" numFmtId="0" xfId="0" applyAlignment="1" applyBorder="1" applyFont="1">
      <alignment horizontal="left" readingOrder="1" shrinkToFit="0" vertical="center" wrapText="1"/>
    </xf>
    <xf borderId="26" fillId="0" fontId="18" numFmtId="49" xfId="0" applyAlignment="1" applyBorder="1" applyFont="1" applyNumberFormat="1">
      <alignment readingOrder="0" shrinkToFit="0" wrapText="1"/>
    </xf>
    <xf borderId="26" fillId="5" fontId="16" numFmtId="167" xfId="0" applyAlignment="1" applyBorder="1" applyFont="1" applyNumberFormat="1">
      <alignment horizontal="center" readingOrder="1" shrinkToFit="0" vertical="center" wrapText="1"/>
    </xf>
    <xf borderId="26" fillId="5" fontId="16" numFmtId="0" xfId="0" applyAlignment="1" applyBorder="1" applyFont="1">
      <alignment horizontal="left" readingOrder="1" shrinkToFit="0" vertical="center" wrapText="1"/>
    </xf>
    <xf borderId="26" fillId="6" fontId="5" numFmtId="166" xfId="0" applyAlignment="1" applyBorder="1" applyFont="1" applyNumberFormat="1">
      <alignment horizontal="right" vertical="center"/>
    </xf>
    <xf borderId="26" fillId="5" fontId="17" numFmtId="166" xfId="0" applyAlignment="1" applyBorder="1" applyFont="1" applyNumberFormat="1">
      <alignment horizontal="left" shrinkToFit="0" vertical="center" wrapText="1"/>
    </xf>
    <xf borderId="26" fillId="4" fontId="11" numFmtId="49" xfId="0" applyAlignment="1" applyBorder="1" applyFont="1" applyNumberFormat="1">
      <alignment shrinkToFit="0" vertical="center" wrapText="1"/>
    </xf>
    <xf borderId="26" fillId="4" fontId="19" numFmtId="166" xfId="0" applyAlignment="1" applyBorder="1" applyFont="1" applyNumberFormat="1">
      <alignment vertical="center"/>
    </xf>
    <xf borderId="26" fillId="4" fontId="19" numFmtId="3" xfId="0" applyAlignment="1" applyBorder="1" applyFont="1" applyNumberFormat="1">
      <alignment vertical="center"/>
    </xf>
    <xf borderId="0" fillId="0" fontId="19" numFmtId="166" xfId="0" applyAlignment="1" applyFont="1" applyNumberFormat="1">
      <alignment vertical="center"/>
    </xf>
    <xf borderId="26" fillId="5" fontId="11" numFmtId="49" xfId="0" applyAlignment="1" applyBorder="1" applyFont="1" applyNumberFormat="1">
      <alignment horizontal="center" shrinkToFit="0" vertical="center" wrapText="1"/>
    </xf>
    <xf borderId="26" fillId="5" fontId="11" numFmtId="49" xfId="0" applyAlignment="1" applyBorder="1" applyFont="1" applyNumberFormat="1">
      <alignment shrinkToFit="0" vertical="center" wrapText="1"/>
    </xf>
    <xf borderId="26" fillId="5" fontId="19" numFmtId="166" xfId="0" applyAlignment="1" applyBorder="1" applyFont="1" applyNumberFormat="1">
      <alignment vertical="center"/>
    </xf>
    <xf borderId="26" fillId="5" fontId="19" numFmtId="4" xfId="0" applyAlignment="1" applyBorder="1" applyFont="1" applyNumberFormat="1">
      <alignment vertical="center"/>
    </xf>
    <xf borderId="29" fillId="7" fontId="19" numFmtId="3" xfId="0" applyBorder="1" applyFill="1" applyFont="1" applyNumberFormat="1"/>
    <xf borderId="29" fillId="7" fontId="19" numFmtId="0" xfId="0" applyBorder="1" applyFont="1"/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20" numFmtId="166" xfId="0" applyAlignment="1" applyFont="1" applyNumberFormat="1">
      <alignment vertical="center"/>
    </xf>
    <xf borderId="0" fillId="0" fontId="17" numFmtId="0" xfId="0" applyFont="1"/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35</xdr:row>
      <xdr:rowOff>142875</xdr:rowOff>
    </xdr:from>
    <xdr:ext cx="1657350" cy="6477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41</xdr:row>
      <xdr:rowOff>57150</xdr:rowOff>
    </xdr:from>
    <xdr:ext cx="2095500" cy="5524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23.86"/>
    <col customWidth="1" min="3" max="3" width="17.43"/>
    <col customWidth="1" min="4" max="4" width="14.14"/>
    <col customWidth="1" min="5" max="6" width="16.43"/>
  </cols>
  <sheetData>
    <row r="1" ht="13.5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6"/>
      <c r="C3" s="6"/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5"/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5"/>
      <c r="B5" s="6"/>
      <c r="C5" s="6"/>
      <c r="D5" s="6"/>
      <c r="E5" s="6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5"/>
      <c r="B6" s="6"/>
      <c r="C6" s="6"/>
      <c r="D6" s="6"/>
      <c r="E6" s="6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5"/>
      <c r="B7" s="6"/>
      <c r="C7" s="6"/>
      <c r="D7" s="6"/>
      <c r="E7" s="6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5"/>
      <c r="B8" s="6"/>
      <c r="C8" s="6"/>
      <c r="D8" s="6"/>
      <c r="E8" s="6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5"/>
      <c r="B9" s="6"/>
      <c r="C9" s="6"/>
      <c r="D9" s="6"/>
      <c r="E9" s="6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"/>
      <c r="B10" s="6"/>
      <c r="C10" s="6"/>
      <c r="D10" s="6"/>
      <c r="E10" s="6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5"/>
      <c r="B11" s="6"/>
      <c r="C11" s="6"/>
      <c r="D11" s="6"/>
      <c r="E11" s="6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0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1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</v>
      </c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4"/>
      <c r="C18" s="4"/>
      <c r="D18" s="4"/>
      <c r="E18" s="4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4"/>
      <c r="C19" s="4"/>
      <c r="D19" s="4"/>
      <c r="E19" s="4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4"/>
      <c r="C20" s="4"/>
      <c r="D20" s="4"/>
      <c r="E20" s="4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/>
      <c r="B21" s="4"/>
      <c r="C21" s="4"/>
      <c r="D21" s="4"/>
      <c r="E21" s="4"/>
      <c r="F21" s="1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/>
      <c r="B22" s="4"/>
      <c r="C22" s="4"/>
      <c r="D22" s="4"/>
      <c r="E22" s="4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4"/>
      <c r="C23" s="4"/>
      <c r="D23" s="4"/>
      <c r="E23" s="4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/>
      <c r="B24" s="4"/>
      <c r="C24" s="4"/>
      <c r="D24" s="4"/>
      <c r="E24" s="4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/>
      <c r="B25" s="4"/>
      <c r="C25" s="4"/>
      <c r="D25" s="4"/>
      <c r="E25" s="4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4"/>
      <c r="C26" s="4"/>
      <c r="D26" s="4"/>
      <c r="E26" s="4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/>
      <c r="B27" s="13"/>
      <c r="C27" s="13"/>
      <c r="D27" s="13"/>
      <c r="E27" s="13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/>
      <c r="B28" s="15"/>
      <c r="C28" s="16"/>
      <c r="D28" s="17"/>
      <c r="E28" s="18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9"/>
      <c r="B29" s="15"/>
      <c r="C29" s="16"/>
      <c r="D29" s="20"/>
      <c r="E29" s="20"/>
      <c r="F29" s="1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9"/>
      <c r="B30" s="15"/>
      <c r="C30" s="16"/>
      <c r="D30" s="20"/>
      <c r="E30" s="20"/>
      <c r="F30" s="1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9"/>
      <c r="B31" s="15"/>
      <c r="C31" s="16"/>
      <c r="D31" s="20"/>
      <c r="E31" s="20"/>
      <c r="F31" s="19"/>
      <c r="G31" s="4"/>
      <c r="H31" s="4"/>
      <c r="I31" s="4"/>
      <c r="J31" s="4"/>
      <c r="K31" s="4"/>
      <c r="L31" s="4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9"/>
      <c r="B32" s="15"/>
      <c r="C32" s="16"/>
      <c r="D32" s="20"/>
      <c r="E32" s="20"/>
      <c r="F32" s="1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 t="s">
        <v>4</v>
      </c>
      <c r="B33" s="22" t="s">
        <v>5</v>
      </c>
      <c r="C33" s="16"/>
      <c r="D33" s="23">
        <v>46006.0</v>
      </c>
      <c r="E33" s="24" t="s">
        <v>6</v>
      </c>
      <c r="F33" s="25" t="s">
        <v>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6" t="s">
        <v>8</v>
      </c>
      <c r="B34" s="22" t="s">
        <v>9</v>
      </c>
      <c r="C34" s="16"/>
      <c r="D34" s="23">
        <v>45940.0</v>
      </c>
      <c r="E34" s="24" t="s">
        <v>10</v>
      </c>
      <c r="F34" s="25" t="s">
        <v>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7" t="s">
        <v>11</v>
      </c>
      <c r="B35" s="27" t="s">
        <v>12</v>
      </c>
      <c r="C35" s="16"/>
      <c r="D35" s="28" t="s">
        <v>13</v>
      </c>
      <c r="E35" s="29" t="s">
        <v>14</v>
      </c>
      <c r="F35" s="28" t="s">
        <v>15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0" t="s">
        <v>16</v>
      </c>
      <c r="B36" s="31"/>
      <c r="C36" s="32" t="s">
        <v>17</v>
      </c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9"/>
      <c r="C37" s="34" t="s">
        <v>18</v>
      </c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3"/>
      <c r="B38" s="9"/>
      <c r="C38" s="4"/>
      <c r="D38" s="4"/>
      <c r="E38" s="4"/>
      <c r="F38" s="3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3"/>
      <c r="B39" s="9"/>
      <c r="C39" s="34" t="s">
        <v>19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6"/>
      <c r="B40" s="37"/>
      <c r="C40" s="38"/>
      <c r="D40" s="39"/>
      <c r="E40" s="39"/>
      <c r="F40" s="3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0" t="s">
        <v>20</v>
      </c>
      <c r="B41" s="31"/>
      <c r="C41" s="32" t="s">
        <v>21</v>
      </c>
      <c r="D41" s="9"/>
      <c r="E41" s="32" t="s">
        <v>22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3"/>
      <c r="B42" s="9"/>
      <c r="C42" s="34" t="s">
        <v>23</v>
      </c>
      <c r="D42" s="9"/>
      <c r="E42" s="34" t="s">
        <v>24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3"/>
      <c r="B43" s="9"/>
      <c r="C43" s="39"/>
      <c r="D43" s="37"/>
      <c r="E43" s="41" t="s">
        <v>25</v>
      </c>
      <c r="F43" s="3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33"/>
      <c r="B44" s="9"/>
      <c r="C44" s="32" t="s">
        <v>26</v>
      </c>
      <c r="D44" s="9"/>
      <c r="E44" s="42" t="s">
        <v>11</v>
      </c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6"/>
      <c r="B45" s="37"/>
      <c r="C45" s="43" t="s">
        <v>27</v>
      </c>
      <c r="D45" s="37"/>
      <c r="E45" s="44" t="s">
        <v>28</v>
      </c>
      <c r="F45" s="3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2:F12"/>
    <mergeCell ref="A13:F13"/>
    <mergeCell ref="A14:F14"/>
    <mergeCell ref="A15:F15"/>
    <mergeCell ref="A16:F16"/>
    <mergeCell ref="A17:F17"/>
    <mergeCell ref="B28:C28"/>
    <mergeCell ref="B29:C29"/>
    <mergeCell ref="B30:C30"/>
    <mergeCell ref="B31:C31"/>
    <mergeCell ref="B32:C32"/>
    <mergeCell ref="B33:C33"/>
    <mergeCell ref="B34:C34"/>
    <mergeCell ref="A36:B40"/>
    <mergeCell ref="A41:B45"/>
    <mergeCell ref="E41:F41"/>
    <mergeCell ref="E42:F42"/>
    <mergeCell ref="E44:F44"/>
    <mergeCell ref="E45:F45"/>
    <mergeCell ref="C42:D43"/>
    <mergeCell ref="C44:D44"/>
    <mergeCell ref="C45:D45"/>
    <mergeCell ref="B35:C35"/>
    <mergeCell ref="C36:F36"/>
    <mergeCell ref="C37:F37"/>
    <mergeCell ref="C39:F39"/>
    <mergeCell ref="C40:F40"/>
    <mergeCell ref="C41:D41"/>
    <mergeCell ref="E43:F43"/>
  </mergeCells>
  <printOptions/>
  <pageMargins bottom="0.748031496062992" footer="0.0" header="0.0" left="0.708661417322835" right="0.708661417322835" top="0.748031496062992"/>
  <pageSetup fitToHeight="0" paperSize="9" orientation="portrait"/>
  <headerFooter>
    <oddFooter>&amp;C&amp;F&amp;RPágina &amp;P de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99.14"/>
    <col customWidth="1" min="3" max="3" width="13.29"/>
    <col customWidth="1" min="4" max="4" width="16.14"/>
    <col customWidth="1" min="5" max="24" width="9.14"/>
  </cols>
  <sheetData>
    <row r="1">
      <c r="A1" s="45" t="s">
        <v>29</v>
      </c>
      <c r="B1" s="46" t="str">
        <f>CAPA!A12&amp;" - "&amp;CAPA!A15</f>
        <v>PROJETO AFRODITE (POUSO ALEGRE, MG) - PRÉDIO 4000 - MONOBLOCO</v>
      </c>
      <c r="C1" s="47" t="str">
        <f>CAPA!E44&amp;" - "&amp;CAPA!E45</f>
        <v>REVISÃO - 01</v>
      </c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/>
      <c r="B2" s="51"/>
      <c r="C2" s="52" t="s">
        <v>30</v>
      </c>
      <c r="D2" s="53">
        <v>46006.0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75" customHeight="1">
      <c r="A3" s="54" t="s">
        <v>31</v>
      </c>
      <c r="B3" s="55" t="s">
        <v>32</v>
      </c>
      <c r="C3" s="56" t="s">
        <v>33</v>
      </c>
      <c r="D3" s="57" t="s">
        <v>34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9"/>
      <c r="B4" s="60"/>
      <c r="C4" s="59"/>
      <c r="D4" s="61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62"/>
      <c r="B5" s="63"/>
      <c r="C5" s="64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7" t="s">
        <v>35</v>
      </c>
      <c r="B6" s="68" t="s">
        <v>36</v>
      </c>
      <c r="C6" s="69"/>
      <c r="D6" s="70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2" t="s">
        <v>37</v>
      </c>
      <c r="B7" s="73" t="s">
        <v>38</v>
      </c>
      <c r="C7" s="74"/>
      <c r="D7" s="74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5" t="s">
        <v>39</v>
      </c>
      <c r="B8" s="76" t="s">
        <v>40</v>
      </c>
      <c r="C8" s="77" t="s">
        <v>41</v>
      </c>
      <c r="D8" s="78">
        <v>111.47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5" t="s">
        <v>42</v>
      </c>
      <c r="B9" s="79" t="s">
        <v>43</v>
      </c>
      <c r="C9" s="77" t="s">
        <v>41</v>
      </c>
      <c r="D9" s="78">
        <f>1561.59+72.72</f>
        <v>1634.31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5" t="s">
        <v>44</v>
      </c>
      <c r="B10" s="76" t="s">
        <v>45</v>
      </c>
      <c r="C10" s="77" t="s">
        <v>41</v>
      </c>
      <c r="D10" s="78">
        <f>74.42+11.9+502.15+668.6+96.08</f>
        <v>1353.15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5" t="s">
        <v>46</v>
      </c>
      <c r="B11" s="76" t="s">
        <v>47</v>
      </c>
      <c r="C11" s="77" t="s">
        <v>41</v>
      </c>
      <c r="D11" s="78">
        <v>79.44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5" t="s">
        <v>48</v>
      </c>
      <c r="B12" s="80" t="s">
        <v>49</v>
      </c>
      <c r="C12" s="77" t="s">
        <v>41</v>
      </c>
      <c r="D12" s="78">
        <f>2634.81</f>
        <v>2634.81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5" t="s">
        <v>50</v>
      </c>
      <c r="B13" s="76" t="s">
        <v>51</v>
      </c>
      <c r="C13" s="77" t="s">
        <v>41</v>
      </c>
      <c r="D13" s="78">
        <f>37.1</f>
        <v>37.1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5" t="s">
        <v>52</v>
      </c>
      <c r="B14" s="81" t="s">
        <v>53</v>
      </c>
      <c r="C14" s="82" t="s">
        <v>54</v>
      </c>
      <c r="D14" s="83">
        <v>5422.3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5" t="s">
        <v>55</v>
      </c>
      <c r="B15" s="81" t="s">
        <v>56</v>
      </c>
      <c r="C15" s="82" t="s">
        <v>54</v>
      </c>
      <c r="D15" s="83">
        <v>246.72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5" t="s">
        <v>57</v>
      </c>
      <c r="B16" s="76" t="s">
        <v>58</v>
      </c>
      <c r="C16" s="77" t="s">
        <v>59</v>
      </c>
      <c r="D16" s="78">
        <f>D9*160</f>
        <v>261489.6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5" t="s">
        <v>60</v>
      </c>
      <c r="B17" s="81" t="s">
        <v>61</v>
      </c>
      <c r="C17" s="82" t="s">
        <v>59</v>
      </c>
      <c r="D17" s="78">
        <f>D11*100</f>
        <v>7944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5" t="s">
        <v>62</v>
      </c>
      <c r="B18" s="76" t="s">
        <v>63</v>
      </c>
      <c r="C18" s="77" t="s">
        <v>59</v>
      </c>
      <c r="D18" s="78">
        <f>D10*140</f>
        <v>189441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5" t="s">
        <v>64</v>
      </c>
      <c r="B19" s="76" t="s">
        <v>65</v>
      </c>
      <c r="C19" s="77" t="s">
        <v>59</v>
      </c>
      <c r="D19" s="78">
        <v>39241.8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5" t="s">
        <v>66</v>
      </c>
      <c r="B20" s="84" t="s">
        <v>67</v>
      </c>
      <c r="C20" s="82" t="s">
        <v>59</v>
      </c>
      <c r="D20" s="78">
        <f>D12*150</f>
        <v>395221.5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5" t="s">
        <v>68</v>
      </c>
      <c r="B21" s="84" t="s">
        <v>69</v>
      </c>
      <c r="C21" s="82" t="s">
        <v>59</v>
      </c>
      <c r="D21" s="78">
        <f>D13*120</f>
        <v>4452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5" t="s">
        <v>70</v>
      </c>
      <c r="B22" s="81" t="s">
        <v>71</v>
      </c>
      <c r="C22" s="82" t="s">
        <v>72</v>
      </c>
      <c r="D22" s="83">
        <v>216.0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5" t="s">
        <v>73</v>
      </c>
      <c r="B23" s="76" t="s">
        <v>74</v>
      </c>
      <c r="C23" s="77" t="s">
        <v>59</v>
      </c>
      <c r="D23" s="78">
        <f>D10*20</f>
        <v>27063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5" t="s">
        <v>75</v>
      </c>
      <c r="B24" s="76" t="s">
        <v>76</v>
      </c>
      <c r="C24" s="77" t="s">
        <v>54</v>
      </c>
      <c r="D24" s="78">
        <v>13389.0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5" t="s">
        <v>77</v>
      </c>
      <c r="B25" s="76" t="s">
        <v>78</v>
      </c>
      <c r="C25" s="77" t="s">
        <v>54</v>
      </c>
      <c r="D25" s="78">
        <v>6327.0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5" t="s">
        <v>79</v>
      </c>
      <c r="B26" s="76" t="s">
        <v>80</v>
      </c>
      <c r="C26" s="77" t="s">
        <v>41</v>
      </c>
      <c r="D26" s="78">
        <f>814.23+158.62+180.73+404.73</f>
        <v>1558.31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5" t="s">
        <v>81</v>
      </c>
      <c r="B27" s="76" t="s">
        <v>82</v>
      </c>
      <c r="C27" s="77" t="s">
        <v>54</v>
      </c>
      <c r="D27" s="78">
        <f>1474.79+473.92+298.77+179.923+410.321</f>
        <v>2837.724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5" t="s">
        <v>83</v>
      </c>
      <c r="B28" s="81" t="s">
        <v>84</v>
      </c>
      <c r="C28" s="82" t="s">
        <v>59</v>
      </c>
      <c r="D28" s="83">
        <v>279648.0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5" t="s">
        <v>85</v>
      </c>
      <c r="B29" s="81" t="s">
        <v>86</v>
      </c>
      <c r="C29" s="82" t="s">
        <v>54</v>
      </c>
      <c r="D29" s="83">
        <f>(D24+D25)*1.18</f>
        <v>23264.88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5" t="s">
        <v>87</v>
      </c>
      <c r="B30" s="81" t="s">
        <v>88</v>
      </c>
      <c r="C30" s="82" t="s">
        <v>41</v>
      </c>
      <c r="D30" s="83">
        <v>297.01056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5" t="s">
        <v>89</v>
      </c>
      <c r="B31" s="81" t="s">
        <v>90</v>
      </c>
      <c r="C31" s="82" t="s">
        <v>72</v>
      </c>
      <c r="D31" s="83">
        <v>1082.4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5" t="s">
        <v>91</v>
      </c>
      <c r="B32" s="81" t="s">
        <v>92</v>
      </c>
      <c r="C32" s="82" t="s">
        <v>93</v>
      </c>
      <c r="D32" s="83">
        <v>2164.8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5" t="s">
        <v>94</v>
      </c>
      <c r="B33" s="81" t="s">
        <v>95</v>
      </c>
      <c r="C33" s="82" t="s">
        <v>41</v>
      </c>
      <c r="D33" s="83">
        <v>214.82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5" t="s">
        <v>96</v>
      </c>
      <c r="B34" s="81" t="s">
        <v>97</v>
      </c>
      <c r="C34" s="82" t="s">
        <v>59</v>
      </c>
      <c r="D34" s="83">
        <f>D33*150</f>
        <v>32223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2.0" customHeight="1">
      <c r="A35" s="75" t="s">
        <v>98</v>
      </c>
      <c r="B35" s="81" t="s">
        <v>99</v>
      </c>
      <c r="C35" s="82" t="s">
        <v>41</v>
      </c>
      <c r="D35" s="83">
        <v>244.51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5" t="s">
        <v>100</v>
      </c>
      <c r="B36" s="81" t="s">
        <v>101</v>
      </c>
      <c r="C36" s="82" t="s">
        <v>59</v>
      </c>
      <c r="D36" s="83">
        <f>D35*160</f>
        <v>39121.6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5" t="s">
        <v>102</v>
      </c>
      <c r="B37" s="81" t="s">
        <v>103</v>
      </c>
      <c r="C37" s="77" t="s">
        <v>41</v>
      </c>
      <c r="D37" s="78">
        <v>235.9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5" t="s">
        <v>104</v>
      </c>
      <c r="B38" s="81" t="s">
        <v>105</v>
      </c>
      <c r="C38" s="77" t="s">
        <v>41</v>
      </c>
      <c r="D38" s="78">
        <f>((2.7*1.2*0.05)*53)+((3.4*3.4*0.05)*176)+((1.4*1.4*0.05)*16)</f>
        <v>111.882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5" t="s">
        <v>106</v>
      </c>
      <c r="B39" s="81" t="s">
        <v>107</v>
      </c>
      <c r="C39" s="82" t="s">
        <v>41</v>
      </c>
      <c r="D39" s="78">
        <f>(0.6*0.6*0.05)*170</f>
        <v>3.06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85" t="s">
        <v>108</v>
      </c>
      <c r="B40" s="86" t="s">
        <v>109</v>
      </c>
      <c r="C40" s="87"/>
      <c r="D40" s="87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5" t="s">
        <v>110</v>
      </c>
      <c r="B41" s="81" t="s">
        <v>40</v>
      </c>
      <c r="C41" s="77" t="s">
        <v>41</v>
      </c>
      <c r="D41" s="78">
        <f>2.18+1.95</f>
        <v>4.13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5" t="s">
        <v>111</v>
      </c>
      <c r="B42" s="81" t="s">
        <v>112</v>
      </c>
      <c r="C42" s="77" t="s">
        <v>41</v>
      </c>
      <c r="D42" s="78">
        <v>674.59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5" t="s">
        <v>113</v>
      </c>
      <c r="B43" s="81" t="s">
        <v>114</v>
      </c>
      <c r="C43" s="82" t="s">
        <v>59</v>
      </c>
      <c r="D43" s="78">
        <f>D42*150</f>
        <v>101188.5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5" t="s">
        <v>115</v>
      </c>
      <c r="B44" s="76" t="s">
        <v>116</v>
      </c>
      <c r="C44" s="77" t="s">
        <v>41</v>
      </c>
      <c r="D44" s="78">
        <f>385.71+99.1</f>
        <v>484.81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5" t="s">
        <v>117</v>
      </c>
      <c r="B45" s="81" t="s">
        <v>118</v>
      </c>
      <c r="C45" s="82" t="s">
        <v>59</v>
      </c>
      <c r="D45" s="78">
        <f>D44*160</f>
        <v>77569.6</v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5" t="s">
        <v>119</v>
      </c>
      <c r="B46" s="76" t="s">
        <v>120</v>
      </c>
      <c r="C46" s="77" t="s">
        <v>41</v>
      </c>
      <c r="D46" s="78">
        <v>0.16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5" t="s">
        <v>121</v>
      </c>
      <c r="B47" s="81" t="s">
        <v>122</v>
      </c>
      <c r="C47" s="82" t="s">
        <v>59</v>
      </c>
      <c r="D47" s="78">
        <f>D46*120</f>
        <v>19.2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5" t="s">
        <v>123</v>
      </c>
      <c r="B48" s="76" t="s">
        <v>124</v>
      </c>
      <c r="C48" s="77" t="s">
        <v>41</v>
      </c>
      <c r="D48" s="78">
        <f>43.03+10.68+5.43</f>
        <v>59.14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5" t="s">
        <v>125</v>
      </c>
      <c r="B49" s="81" t="s">
        <v>126</v>
      </c>
      <c r="C49" s="82" t="s">
        <v>59</v>
      </c>
      <c r="D49" s="78">
        <f>D48*140</f>
        <v>8279.6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5" t="s">
        <v>127</v>
      </c>
      <c r="B50" s="81" t="s">
        <v>128</v>
      </c>
      <c r="C50" s="82" t="s">
        <v>59</v>
      </c>
      <c r="D50" s="78">
        <f>D48*20</f>
        <v>1182.8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5" t="s">
        <v>129</v>
      </c>
      <c r="B51" s="76" t="s">
        <v>47</v>
      </c>
      <c r="C51" s="77" t="s">
        <v>41</v>
      </c>
      <c r="D51" s="78">
        <v>21.25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5" t="s">
        <v>130</v>
      </c>
      <c r="B52" s="76" t="s">
        <v>131</v>
      </c>
      <c r="C52" s="82" t="s">
        <v>54</v>
      </c>
      <c r="D52" s="83">
        <v>209.87</v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5" t="s">
        <v>132</v>
      </c>
      <c r="B53" s="81" t="s">
        <v>61</v>
      </c>
      <c r="C53" s="82" t="s">
        <v>59</v>
      </c>
      <c r="D53" s="78">
        <f>D51*100</f>
        <v>2125</v>
      </c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5" t="s">
        <v>133</v>
      </c>
      <c r="B54" s="80" t="s">
        <v>49</v>
      </c>
      <c r="C54" s="77" t="s">
        <v>41</v>
      </c>
      <c r="D54" s="78">
        <v>674.59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5" t="s">
        <v>134</v>
      </c>
      <c r="B55" s="84" t="s">
        <v>67</v>
      </c>
      <c r="C55" s="82" t="s">
        <v>59</v>
      </c>
      <c r="D55" s="78">
        <f>D54*150</f>
        <v>101188.5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5" t="s">
        <v>135</v>
      </c>
      <c r="B56" s="84" t="s">
        <v>53</v>
      </c>
      <c r="C56" s="82" t="s">
        <v>54</v>
      </c>
      <c r="D56" s="83">
        <v>1261.08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5" t="s">
        <v>136</v>
      </c>
      <c r="B57" s="76" t="s">
        <v>51</v>
      </c>
      <c r="C57" s="77" t="s">
        <v>41</v>
      </c>
      <c r="D57" s="78">
        <v>8.02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5" t="s">
        <v>137</v>
      </c>
      <c r="B58" s="81" t="s">
        <v>56</v>
      </c>
      <c r="C58" s="82" t="s">
        <v>54</v>
      </c>
      <c r="D58" s="83">
        <v>53.08</v>
      </c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5" t="s">
        <v>138</v>
      </c>
      <c r="B59" s="84" t="s">
        <v>69</v>
      </c>
      <c r="C59" s="82" t="s">
        <v>59</v>
      </c>
      <c r="D59" s="78">
        <f>D57*120</f>
        <v>962.4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5" t="s">
        <v>139</v>
      </c>
      <c r="B60" s="81" t="s">
        <v>95</v>
      </c>
      <c r="C60" s="82" t="s">
        <v>41</v>
      </c>
      <c r="D60" s="83">
        <v>10.54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5" t="s">
        <v>140</v>
      </c>
      <c r="B61" s="81" t="s">
        <v>97</v>
      </c>
      <c r="C61" s="82" t="s">
        <v>59</v>
      </c>
      <c r="D61" s="83">
        <f>D60*150</f>
        <v>1581</v>
      </c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5" t="s">
        <v>141</v>
      </c>
      <c r="B62" s="81" t="s">
        <v>142</v>
      </c>
      <c r="C62" s="82" t="s">
        <v>41</v>
      </c>
      <c r="D62" s="83">
        <f>(0.19*221.52*0.05)+(0.3*37.75*0.05)+(0.3*17.11*0.05)+(0.3*11.49*0.05)</f>
        <v>3.09969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5" t="s">
        <v>143</v>
      </c>
      <c r="B63" s="81" t="s">
        <v>105</v>
      </c>
      <c r="C63" s="77" t="s">
        <v>41</v>
      </c>
      <c r="D63" s="78">
        <f>((4*3*0.05)*25)+((2.7*1.2*0.05)*11)+((1.2*11.2*0.05)*7)+((1.6*0.6*0.05))</f>
        <v>21.534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5" t="s">
        <v>144</v>
      </c>
      <c r="B64" s="81" t="s">
        <v>107</v>
      </c>
      <c r="C64" s="82" t="s">
        <v>41</v>
      </c>
      <c r="D64" s="78">
        <f>((0.6*0.6*0.05)*35)+((1.6*0.6*0.05))</f>
        <v>0.678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5" t="s">
        <v>145</v>
      </c>
      <c r="B65" s="88" t="s">
        <v>146</v>
      </c>
      <c r="C65" s="82" t="s">
        <v>41</v>
      </c>
      <c r="D65" s="78">
        <f>(0.2*40.5*0.05)+(7.05*0.05)*5</f>
        <v>2.1675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5" t="s">
        <v>147</v>
      </c>
      <c r="B66" s="76" t="s">
        <v>78</v>
      </c>
      <c r="C66" s="77" t="s">
        <v>54</v>
      </c>
      <c r="D66" s="83">
        <v>483.8</v>
      </c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5" t="s">
        <v>148</v>
      </c>
      <c r="B67" s="76" t="s">
        <v>80</v>
      </c>
      <c r="C67" s="77" t="s">
        <v>41</v>
      </c>
      <c r="D67" s="78">
        <f>D66*0.05</f>
        <v>24.19</v>
      </c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5" t="s">
        <v>149</v>
      </c>
      <c r="B68" s="81" t="s">
        <v>86</v>
      </c>
      <c r="C68" s="82" t="s">
        <v>54</v>
      </c>
      <c r="D68" s="78">
        <f>D66*1.18</f>
        <v>570.884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67" t="s">
        <v>150</v>
      </c>
      <c r="B69" s="68" t="s">
        <v>151</v>
      </c>
      <c r="C69" s="69"/>
      <c r="D69" s="70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89">
        <v>45659.0</v>
      </c>
      <c r="B70" s="90" t="s">
        <v>152</v>
      </c>
      <c r="C70" s="87"/>
      <c r="D70" s="87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5" t="s">
        <v>153</v>
      </c>
      <c r="B71" s="76" t="s">
        <v>154</v>
      </c>
      <c r="C71" s="77" t="s">
        <v>59</v>
      </c>
      <c r="D71" s="91">
        <v>36155.942</v>
      </c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5" t="s">
        <v>155</v>
      </c>
      <c r="B72" s="76" t="s">
        <v>156</v>
      </c>
      <c r="C72" s="77" t="s">
        <v>59</v>
      </c>
      <c r="D72" s="91">
        <v>47404.103</v>
      </c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5" t="s">
        <v>157</v>
      </c>
      <c r="B73" s="76" t="s">
        <v>158</v>
      </c>
      <c r="C73" s="77" t="s">
        <v>59</v>
      </c>
      <c r="D73" s="91">
        <v>11074.607000000002</v>
      </c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5" t="s">
        <v>159</v>
      </c>
      <c r="B74" s="76" t="s">
        <v>160</v>
      </c>
      <c r="C74" s="77" t="s">
        <v>59</v>
      </c>
      <c r="D74" s="91">
        <v>54197.533</v>
      </c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5" t="s">
        <v>157</v>
      </c>
      <c r="B75" s="76" t="s">
        <v>161</v>
      </c>
      <c r="C75" s="77" t="s">
        <v>59</v>
      </c>
      <c r="D75" s="91">
        <v>15435.927000000001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5" t="s">
        <v>155</v>
      </c>
      <c r="B76" s="76" t="s">
        <v>162</v>
      </c>
      <c r="C76" s="77" t="s">
        <v>59</v>
      </c>
      <c r="D76" s="91">
        <v>4144.003000000001</v>
      </c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5" t="s">
        <v>153</v>
      </c>
      <c r="B77" s="76" t="s">
        <v>163</v>
      </c>
      <c r="C77" s="77" t="s">
        <v>59</v>
      </c>
      <c r="D77" s="91">
        <v>8117.555</v>
      </c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5" t="s">
        <v>164</v>
      </c>
      <c r="B78" s="76" t="s">
        <v>165</v>
      </c>
      <c r="C78" s="77" t="s">
        <v>59</v>
      </c>
      <c r="D78" s="91">
        <v>19138.555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5" t="s">
        <v>164</v>
      </c>
      <c r="B79" s="76" t="s">
        <v>166</v>
      </c>
      <c r="C79" s="77" t="s">
        <v>59</v>
      </c>
      <c r="D79" s="91">
        <v>147.125</v>
      </c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5" t="s">
        <v>167</v>
      </c>
      <c r="B80" s="76" t="s">
        <v>168</v>
      </c>
      <c r="C80" s="77" t="s">
        <v>59</v>
      </c>
      <c r="D80" s="91">
        <v>494.982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5" t="s">
        <v>169</v>
      </c>
      <c r="B81" s="76" t="s">
        <v>170</v>
      </c>
      <c r="C81" s="77" t="s">
        <v>59</v>
      </c>
      <c r="D81" s="91">
        <v>173085.34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5" t="s">
        <v>171</v>
      </c>
      <c r="B82" s="76" t="s">
        <v>172</v>
      </c>
      <c r="C82" s="77" t="s">
        <v>59</v>
      </c>
      <c r="D82" s="91">
        <v>55409.3508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89" t="s">
        <v>173</v>
      </c>
      <c r="B83" s="90" t="s">
        <v>174</v>
      </c>
      <c r="C83" s="87"/>
      <c r="D83" s="92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5" t="s">
        <v>175</v>
      </c>
      <c r="B84" s="76" t="s">
        <v>176</v>
      </c>
      <c r="C84" s="77" t="s">
        <v>59</v>
      </c>
      <c r="D84" s="91">
        <v>231032.688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5" t="s">
        <v>177</v>
      </c>
      <c r="B85" s="76" t="s">
        <v>178</v>
      </c>
      <c r="C85" s="77" t="s">
        <v>59</v>
      </c>
      <c r="D85" s="91">
        <v>124689.56100000002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5" t="s">
        <v>179</v>
      </c>
      <c r="B86" s="76" t="s">
        <v>180</v>
      </c>
      <c r="C86" s="77" t="s">
        <v>59</v>
      </c>
      <c r="D86" s="91">
        <v>167807.351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5" t="s">
        <v>181</v>
      </c>
      <c r="B87" s="76" t="s">
        <v>172</v>
      </c>
      <c r="C87" s="77" t="s">
        <v>59</v>
      </c>
      <c r="D87" s="91">
        <v>78529.44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89" t="s">
        <v>182</v>
      </c>
      <c r="B88" s="90" t="s">
        <v>183</v>
      </c>
      <c r="C88" s="87"/>
      <c r="D88" s="92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5" t="s">
        <v>184</v>
      </c>
      <c r="B89" s="76" t="s">
        <v>176</v>
      </c>
      <c r="C89" s="77" t="s">
        <v>59</v>
      </c>
      <c r="D89" s="91">
        <v>313152.03150000004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5" t="s">
        <v>185</v>
      </c>
      <c r="B90" s="76" t="s">
        <v>178</v>
      </c>
      <c r="C90" s="77" t="s">
        <v>59</v>
      </c>
      <c r="D90" s="91">
        <v>126500.78210000001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5" t="s">
        <v>186</v>
      </c>
      <c r="B91" s="76" t="s">
        <v>180</v>
      </c>
      <c r="C91" s="77" t="s">
        <v>59</v>
      </c>
      <c r="D91" s="91">
        <v>161282.56590000002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5" t="s">
        <v>187</v>
      </c>
      <c r="B92" s="76" t="s">
        <v>172</v>
      </c>
      <c r="C92" s="77" t="s">
        <v>59</v>
      </c>
      <c r="D92" s="91">
        <v>90140.306925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89" t="s">
        <v>188</v>
      </c>
      <c r="B93" s="90" t="s">
        <v>189</v>
      </c>
      <c r="C93" s="87"/>
      <c r="D93" s="92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5" t="s">
        <v>190</v>
      </c>
      <c r="B94" s="76" t="s">
        <v>191</v>
      </c>
      <c r="C94" s="77" t="s">
        <v>59</v>
      </c>
      <c r="D94" s="91">
        <v>4743.738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5" t="s">
        <v>192</v>
      </c>
      <c r="B95" s="76" t="s">
        <v>193</v>
      </c>
      <c r="C95" s="77" t="s">
        <v>59</v>
      </c>
      <c r="D95" s="91">
        <v>13045.333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5" t="s">
        <v>194</v>
      </c>
      <c r="B96" s="76" t="s">
        <v>195</v>
      </c>
      <c r="C96" s="77" t="s">
        <v>59</v>
      </c>
      <c r="D96" s="91">
        <v>2201.418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5" t="s">
        <v>196</v>
      </c>
      <c r="B97" s="76" t="s">
        <v>170</v>
      </c>
      <c r="C97" s="77" t="s">
        <v>59</v>
      </c>
      <c r="D97" s="91">
        <v>101297.97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5" t="s">
        <v>197</v>
      </c>
      <c r="B98" s="76" t="s">
        <v>198</v>
      </c>
      <c r="C98" s="77" t="s">
        <v>59</v>
      </c>
      <c r="D98" s="91">
        <v>26515.884000000002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5" t="s">
        <v>199</v>
      </c>
      <c r="B99" s="76" t="s">
        <v>200</v>
      </c>
      <c r="C99" s="77" t="s">
        <v>59</v>
      </c>
      <c r="D99" s="91">
        <v>13236.007000000001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5" t="s">
        <v>201</v>
      </c>
      <c r="B100" s="76" t="s">
        <v>202</v>
      </c>
      <c r="C100" s="77" t="s">
        <v>59</v>
      </c>
      <c r="D100" s="91">
        <v>1036.402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5" t="s">
        <v>203</v>
      </c>
      <c r="B101" s="76" t="s">
        <v>204</v>
      </c>
      <c r="C101" s="77" t="s">
        <v>59</v>
      </c>
      <c r="D101" s="91">
        <v>1725.161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5" t="s">
        <v>205</v>
      </c>
      <c r="B102" s="76" t="s">
        <v>206</v>
      </c>
      <c r="C102" s="77" t="s">
        <v>59</v>
      </c>
      <c r="D102" s="91">
        <v>11244.202000000001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5" t="s">
        <v>207</v>
      </c>
      <c r="B103" s="76" t="s">
        <v>208</v>
      </c>
      <c r="C103" s="77" t="s">
        <v>59</v>
      </c>
      <c r="D103" s="91">
        <v>1286.354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5" t="s">
        <v>209</v>
      </c>
      <c r="B104" s="76" t="s">
        <v>172</v>
      </c>
      <c r="C104" s="77" t="s">
        <v>59</v>
      </c>
      <c r="D104" s="91">
        <v>18256.4357222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5" t="s">
        <v>210</v>
      </c>
      <c r="B105" s="76" t="s">
        <v>211</v>
      </c>
      <c r="C105" s="77" t="s">
        <v>212</v>
      </c>
      <c r="D105" s="91">
        <v>1.07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89" t="s">
        <v>182</v>
      </c>
      <c r="B106" s="90" t="s">
        <v>213</v>
      </c>
      <c r="C106" s="87"/>
      <c r="D106" s="92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5" t="s">
        <v>175</v>
      </c>
      <c r="B107" s="76" t="s">
        <v>214</v>
      </c>
      <c r="C107" s="77" t="s">
        <v>59</v>
      </c>
      <c r="D107" s="91">
        <v>658.7990000000001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5" t="s">
        <v>177</v>
      </c>
      <c r="B108" s="76" t="s">
        <v>215</v>
      </c>
      <c r="C108" s="77" t="s">
        <v>59</v>
      </c>
      <c r="D108" s="91">
        <v>785.4870000000001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5" t="s">
        <v>179</v>
      </c>
      <c r="B109" s="76" t="s">
        <v>216</v>
      </c>
      <c r="C109" s="77" t="s">
        <v>59</v>
      </c>
      <c r="D109" s="91">
        <v>2175.417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5" t="s">
        <v>181</v>
      </c>
      <c r="B110" s="76" t="s">
        <v>217</v>
      </c>
      <c r="C110" s="77" t="s">
        <v>59</v>
      </c>
      <c r="D110" s="91">
        <v>7907.621000000001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5" t="s">
        <v>218</v>
      </c>
      <c r="B111" s="76" t="s">
        <v>219</v>
      </c>
      <c r="C111" s="77" t="s">
        <v>59</v>
      </c>
      <c r="D111" s="91">
        <v>1952.75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5" t="s">
        <v>220</v>
      </c>
      <c r="B112" s="76" t="s">
        <v>172</v>
      </c>
      <c r="C112" s="77" t="s">
        <v>59</v>
      </c>
      <c r="D112" s="91">
        <v>2022.0111000000002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67" t="s">
        <v>221</v>
      </c>
      <c r="B113" s="93" t="s">
        <v>222</v>
      </c>
      <c r="C113" s="94"/>
      <c r="D113" s="95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5.75" customHeight="1">
      <c r="A114" s="97" t="s">
        <v>223</v>
      </c>
      <c r="B114" s="98" t="s">
        <v>224</v>
      </c>
      <c r="C114" s="99"/>
      <c r="D114" s="100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5.75" customHeight="1">
      <c r="A115" s="75" t="s">
        <v>225</v>
      </c>
      <c r="B115" s="76" t="s">
        <v>226</v>
      </c>
      <c r="C115" s="77" t="s">
        <v>41</v>
      </c>
      <c r="D115" s="78">
        <v>14881.488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5" t="s">
        <v>227</v>
      </c>
      <c r="B116" s="76" t="s">
        <v>228</v>
      </c>
      <c r="C116" s="77" t="s">
        <v>54</v>
      </c>
      <c r="D116" s="78">
        <v>20002.0</v>
      </c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5" t="s">
        <v>229</v>
      </c>
      <c r="B117" s="76" t="s">
        <v>230</v>
      </c>
      <c r="C117" s="77"/>
      <c r="D117" s="78">
        <v>4000.4</v>
      </c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5" t="s">
        <v>231</v>
      </c>
      <c r="B118" s="76" t="s">
        <v>232</v>
      </c>
      <c r="C118" s="77" t="s">
        <v>41</v>
      </c>
      <c r="D118" s="78">
        <v>8944.8944</v>
      </c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5" t="s">
        <v>233</v>
      </c>
      <c r="B119" s="76" t="s">
        <v>234</v>
      </c>
      <c r="C119" s="77" t="s">
        <v>41</v>
      </c>
      <c r="D119" s="78">
        <v>4000.4</v>
      </c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5" t="s">
        <v>235</v>
      </c>
      <c r="B120" s="76" t="s">
        <v>236</v>
      </c>
      <c r="C120" s="77" t="s">
        <v>41</v>
      </c>
      <c r="D120" s="78">
        <v>2600.26</v>
      </c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5" t="s">
        <v>237</v>
      </c>
      <c r="B121" s="76" t="s">
        <v>238</v>
      </c>
      <c r="C121" s="77" t="s">
        <v>54</v>
      </c>
      <c r="D121" s="78">
        <v>21002.0</v>
      </c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5" t="s">
        <v>239</v>
      </c>
      <c r="B122" s="76" t="s">
        <v>240</v>
      </c>
      <c r="C122" s="77" t="s">
        <v>41</v>
      </c>
      <c r="D122" s="78">
        <v>2520.252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5" t="s">
        <v>241</v>
      </c>
      <c r="B123" s="76" t="s">
        <v>242</v>
      </c>
      <c r="C123" s="77" t="s">
        <v>59</v>
      </c>
      <c r="D123" s="78">
        <v>77092.5771</v>
      </c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5" t="s">
        <v>243</v>
      </c>
      <c r="B124" s="76" t="s">
        <v>244</v>
      </c>
      <c r="C124" s="77" t="s">
        <v>72</v>
      </c>
      <c r="D124" s="78">
        <v>12091.0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5" t="s">
        <v>245</v>
      </c>
      <c r="B125" s="76" t="s">
        <v>246</v>
      </c>
      <c r="C125" s="77" t="s">
        <v>93</v>
      </c>
      <c r="D125" s="78">
        <v>3755.4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5" t="s">
        <v>247</v>
      </c>
      <c r="B126" s="76" t="s">
        <v>248</v>
      </c>
      <c r="C126" s="77" t="s">
        <v>72</v>
      </c>
      <c r="D126" s="78">
        <v>22003.3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5" t="s">
        <v>249</v>
      </c>
      <c r="B127" s="76" t="s">
        <v>250</v>
      </c>
      <c r="C127" s="77" t="s">
        <v>54</v>
      </c>
      <c r="D127" s="78">
        <v>20002.2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5" t="s">
        <v>251</v>
      </c>
      <c r="B128" s="76" t="s">
        <v>252</v>
      </c>
      <c r="C128" s="77" t="s">
        <v>93</v>
      </c>
      <c r="D128" s="78">
        <v>880.11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5" t="s">
        <v>253</v>
      </c>
      <c r="B129" s="76" t="s">
        <v>254</v>
      </c>
      <c r="C129" s="77" t="s">
        <v>93</v>
      </c>
      <c r="D129" s="78">
        <v>1877.59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5" t="s">
        <v>255</v>
      </c>
      <c r="B130" s="76" t="s">
        <v>256</v>
      </c>
      <c r="C130" s="77" t="s">
        <v>93</v>
      </c>
      <c r="D130" s="78">
        <v>2112.22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5" t="s">
        <v>257</v>
      </c>
      <c r="B131" s="76" t="s">
        <v>258</v>
      </c>
      <c r="C131" s="77" t="s">
        <v>59</v>
      </c>
      <c r="D131" s="78">
        <v>2940.3255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97" t="s">
        <v>259</v>
      </c>
      <c r="B132" s="98" t="s">
        <v>260</v>
      </c>
      <c r="C132" s="99"/>
      <c r="D132" s="100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5.75" customHeight="1">
      <c r="A133" s="75" t="s">
        <v>261</v>
      </c>
      <c r="B133" s="76" t="s">
        <v>226</v>
      </c>
      <c r="C133" s="77" t="s">
        <v>41</v>
      </c>
      <c r="D133" s="78">
        <v>6264.3072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5" t="s">
        <v>262</v>
      </c>
      <c r="B134" s="76" t="s">
        <v>228</v>
      </c>
      <c r="C134" s="77" t="s">
        <v>54</v>
      </c>
      <c r="D134" s="78">
        <v>7054.4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5" t="s">
        <v>263</v>
      </c>
      <c r="B135" s="76" t="s">
        <v>230</v>
      </c>
      <c r="C135" s="77"/>
      <c r="D135" s="78">
        <v>1410.88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5" t="s">
        <v>264</v>
      </c>
      <c r="B136" s="76" t="s">
        <v>232</v>
      </c>
      <c r="C136" s="77" t="s">
        <v>41</v>
      </c>
      <c r="D136" s="78">
        <v>4475.31136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5" t="s">
        <v>265</v>
      </c>
      <c r="B137" s="76" t="s">
        <v>234</v>
      </c>
      <c r="C137" s="77" t="s">
        <v>41</v>
      </c>
      <c r="D137" s="78">
        <v>1410.88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5" t="s">
        <v>266</v>
      </c>
      <c r="B138" s="76" t="s">
        <v>236</v>
      </c>
      <c r="C138" s="77" t="s">
        <v>41</v>
      </c>
      <c r="D138" s="78">
        <v>917.072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5" t="s">
        <v>267</v>
      </c>
      <c r="B139" s="76" t="s">
        <v>238</v>
      </c>
      <c r="C139" s="77" t="s">
        <v>54</v>
      </c>
      <c r="D139" s="78">
        <v>7407.0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5" t="s">
        <v>268</v>
      </c>
      <c r="B140" s="76" t="s">
        <v>240</v>
      </c>
      <c r="C140" s="77" t="s">
        <v>41</v>
      </c>
      <c r="D140" s="78">
        <v>1777.7088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5" t="s">
        <v>269</v>
      </c>
      <c r="B141" s="76" t="s">
        <v>270</v>
      </c>
      <c r="C141" s="77" t="s">
        <v>59</v>
      </c>
      <c r="D141" s="78">
        <v>109726.7976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5" t="s">
        <v>271</v>
      </c>
      <c r="B142" s="76" t="s">
        <v>272</v>
      </c>
      <c r="C142" s="77" t="s">
        <v>72</v>
      </c>
      <c r="D142" s="78">
        <v>3248.0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5" t="s">
        <v>273</v>
      </c>
      <c r="B143" s="76" t="s">
        <v>274</v>
      </c>
      <c r="C143" s="77" t="s">
        <v>93</v>
      </c>
      <c r="D143" s="78">
        <v>1197.9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5" t="s">
        <v>275</v>
      </c>
      <c r="B144" s="76" t="s">
        <v>276</v>
      </c>
      <c r="C144" s="77" t="s">
        <v>72</v>
      </c>
      <c r="D144" s="78">
        <v>7760.5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5" t="s">
        <v>277</v>
      </c>
      <c r="B145" s="76" t="s">
        <v>278</v>
      </c>
      <c r="C145" s="77" t="s">
        <v>72</v>
      </c>
      <c r="D145" s="78">
        <v>31039.8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5" t="s">
        <v>279</v>
      </c>
      <c r="B146" s="76" t="s">
        <v>250</v>
      </c>
      <c r="C146" s="77" t="s">
        <v>54</v>
      </c>
      <c r="D146" s="78">
        <v>7054.4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5" t="s">
        <v>280</v>
      </c>
      <c r="B147" s="76" t="s">
        <v>252</v>
      </c>
      <c r="C147" s="77" t="s">
        <v>93</v>
      </c>
      <c r="D147" s="78">
        <v>931.15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5" t="s">
        <v>281</v>
      </c>
      <c r="B148" s="76" t="s">
        <v>254</v>
      </c>
      <c r="C148" s="77" t="s">
        <v>93</v>
      </c>
      <c r="D148" s="78">
        <v>598.84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5" t="s">
        <v>282</v>
      </c>
      <c r="B149" s="76" t="s">
        <v>256</v>
      </c>
      <c r="C149" s="77" t="s">
        <v>93</v>
      </c>
      <c r="D149" s="78">
        <v>472.78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5" t="s">
        <v>283</v>
      </c>
      <c r="B150" s="76" t="s">
        <v>258</v>
      </c>
      <c r="C150" s="77" t="s">
        <v>59</v>
      </c>
      <c r="D150" s="78">
        <v>666.645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97" t="s">
        <v>284</v>
      </c>
      <c r="B151" s="98" t="s">
        <v>285</v>
      </c>
      <c r="C151" s="99"/>
      <c r="D151" s="100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5.75" customHeight="1">
      <c r="A152" s="75" t="s">
        <v>286</v>
      </c>
      <c r="B152" s="76" t="s">
        <v>240</v>
      </c>
      <c r="C152" s="77" t="s">
        <v>41</v>
      </c>
      <c r="D152" s="78">
        <v>1163.232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5" t="s">
        <v>287</v>
      </c>
      <c r="B153" s="76" t="s">
        <v>242</v>
      </c>
      <c r="C153" s="77" t="s">
        <v>59</v>
      </c>
      <c r="D153" s="78">
        <v>71140.2237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5" t="s">
        <v>288</v>
      </c>
      <c r="B154" s="76" t="s">
        <v>278</v>
      </c>
      <c r="C154" s="77" t="s">
        <v>72</v>
      </c>
      <c r="D154" s="78">
        <v>101552.0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5" t="s">
        <v>289</v>
      </c>
      <c r="B155" s="76" t="s">
        <v>250</v>
      </c>
      <c r="C155" s="77" t="s">
        <v>54</v>
      </c>
      <c r="D155" s="78">
        <v>18464.0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101"/>
      <c r="B156" s="102"/>
      <c r="C156" s="102"/>
      <c r="D156" s="102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103"/>
      <c r="B157" s="104"/>
      <c r="C157" s="49"/>
      <c r="D157" s="49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103"/>
      <c r="B158" s="104"/>
      <c r="C158" s="49"/>
      <c r="D158" s="49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103"/>
      <c r="B159" s="104"/>
      <c r="C159" s="49"/>
      <c r="D159" s="49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103"/>
      <c r="B160" s="104"/>
      <c r="C160" s="49"/>
      <c r="D160" s="49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103"/>
      <c r="B161" s="104"/>
      <c r="C161" s="49"/>
      <c r="D161" s="49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103"/>
      <c r="B162" s="104"/>
      <c r="C162" s="49"/>
      <c r="D162" s="49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103"/>
      <c r="B163" s="104"/>
      <c r="C163" s="49"/>
      <c r="D163" s="49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103"/>
      <c r="B164" s="104"/>
      <c r="C164" s="49"/>
      <c r="D164" s="49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103"/>
      <c r="B165" s="104"/>
      <c r="C165" s="49"/>
      <c r="D165" s="49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103"/>
      <c r="B166" s="104"/>
      <c r="C166" s="49"/>
      <c r="D166" s="49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103"/>
      <c r="B167" s="104"/>
      <c r="C167" s="49"/>
      <c r="D167" s="49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103"/>
      <c r="B168" s="104"/>
      <c r="C168" s="49"/>
      <c r="D168" s="49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103"/>
      <c r="B169" s="104"/>
      <c r="C169" s="49"/>
      <c r="D169" s="49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103"/>
      <c r="B170" s="104"/>
      <c r="C170" s="49"/>
      <c r="D170" s="49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103"/>
      <c r="B171" s="104"/>
      <c r="C171" s="49"/>
      <c r="D171" s="49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103"/>
      <c r="B172" s="104"/>
      <c r="C172" s="49"/>
      <c r="D172" s="49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103"/>
      <c r="B173" s="104"/>
      <c r="C173" s="49"/>
      <c r="D173" s="49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103"/>
      <c r="B174" s="104"/>
      <c r="C174" s="49"/>
      <c r="D174" s="49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103"/>
      <c r="B175" s="104"/>
      <c r="C175" s="49"/>
      <c r="D175" s="49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103"/>
      <c r="B176" s="104"/>
      <c r="C176" s="49"/>
      <c r="D176" s="49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103"/>
      <c r="B177" s="104"/>
      <c r="C177" s="49"/>
      <c r="D177" s="49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103"/>
      <c r="B178" s="104"/>
      <c r="C178" s="49"/>
      <c r="D178" s="49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103"/>
      <c r="B179" s="104"/>
      <c r="C179" s="49"/>
      <c r="D179" s="49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103"/>
      <c r="B180" s="104"/>
      <c r="C180" s="49"/>
      <c r="D180" s="49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103"/>
      <c r="B181" s="104"/>
      <c r="C181" s="49"/>
      <c r="D181" s="49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103"/>
      <c r="B182" s="104"/>
      <c r="C182" s="49"/>
      <c r="D182" s="49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103"/>
      <c r="B183" s="104"/>
      <c r="C183" s="49"/>
      <c r="D183" s="49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103"/>
      <c r="B184" s="104"/>
      <c r="C184" s="49"/>
      <c r="D184" s="49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103"/>
      <c r="B185" s="104"/>
      <c r="C185" s="49"/>
      <c r="D185" s="49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103"/>
      <c r="B186" s="104"/>
      <c r="C186" s="49"/>
      <c r="D186" s="49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103"/>
      <c r="B187" s="104"/>
      <c r="C187" s="49"/>
      <c r="D187" s="49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103"/>
      <c r="B188" s="104"/>
      <c r="C188" s="49"/>
      <c r="D188" s="49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103"/>
      <c r="B189" s="104"/>
      <c r="C189" s="49"/>
      <c r="D189" s="49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103"/>
      <c r="B190" s="104"/>
      <c r="C190" s="49"/>
      <c r="D190" s="49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103"/>
      <c r="B191" s="104"/>
      <c r="C191" s="49"/>
      <c r="D191" s="49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103"/>
      <c r="B192" s="104"/>
      <c r="C192" s="49"/>
      <c r="D192" s="49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103"/>
      <c r="B193" s="104"/>
      <c r="C193" s="49"/>
      <c r="D193" s="49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103"/>
      <c r="B194" s="104"/>
      <c r="C194" s="49"/>
      <c r="D194" s="49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103"/>
      <c r="B195" s="104"/>
      <c r="C195" s="49"/>
      <c r="D195" s="49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103"/>
      <c r="B196" s="104"/>
      <c r="C196" s="49"/>
      <c r="D196" s="49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103"/>
      <c r="B197" s="104"/>
      <c r="C197" s="49"/>
      <c r="D197" s="49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103"/>
      <c r="B198" s="104"/>
      <c r="C198" s="49"/>
      <c r="D198" s="49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103"/>
      <c r="B199" s="104"/>
      <c r="C199" s="49"/>
      <c r="D199" s="49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103"/>
      <c r="B200" s="104"/>
      <c r="C200" s="49"/>
      <c r="D200" s="49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103"/>
      <c r="B201" s="104"/>
      <c r="C201" s="49"/>
      <c r="D201" s="49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103"/>
      <c r="B202" s="104"/>
      <c r="C202" s="49"/>
      <c r="D202" s="49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103"/>
      <c r="B203" s="104"/>
      <c r="C203" s="49"/>
      <c r="D203" s="49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103"/>
      <c r="B204" s="104"/>
      <c r="C204" s="49"/>
      <c r="D204" s="49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103"/>
      <c r="B205" s="104"/>
      <c r="C205" s="49"/>
      <c r="D205" s="49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103"/>
      <c r="B206" s="104"/>
      <c r="C206" s="49"/>
      <c r="D206" s="49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103"/>
      <c r="B207" s="104"/>
      <c r="C207" s="49"/>
      <c r="D207" s="49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103"/>
      <c r="B208" s="104"/>
      <c r="C208" s="49"/>
      <c r="D208" s="49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103"/>
      <c r="B209" s="104"/>
      <c r="C209" s="49"/>
      <c r="D209" s="49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103"/>
      <c r="B210" s="104"/>
      <c r="C210" s="49"/>
      <c r="D210" s="49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103"/>
      <c r="B211" s="104"/>
      <c r="C211" s="49"/>
      <c r="D211" s="49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103"/>
      <c r="B212" s="104"/>
      <c r="C212" s="49"/>
      <c r="D212" s="49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103"/>
      <c r="B213" s="104"/>
      <c r="C213" s="49"/>
      <c r="D213" s="49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5.75" customHeight="1">
      <c r="A214" s="103"/>
      <c r="B214" s="104"/>
      <c r="C214" s="49"/>
      <c r="D214" s="49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5.75" customHeight="1">
      <c r="A215" s="103"/>
      <c r="B215" s="104"/>
      <c r="C215" s="49"/>
      <c r="D215" s="49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5.75" customHeight="1">
      <c r="A216" s="103"/>
      <c r="B216" s="104"/>
      <c r="C216" s="49"/>
      <c r="D216" s="49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5.75" customHeight="1">
      <c r="A217" s="103"/>
      <c r="B217" s="104"/>
      <c r="C217" s="49"/>
      <c r="D217" s="49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5.75" customHeight="1">
      <c r="A218" s="103"/>
      <c r="B218" s="104"/>
      <c r="C218" s="49"/>
      <c r="D218" s="49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5.75" customHeight="1">
      <c r="A219" s="103"/>
      <c r="B219" s="104"/>
      <c r="C219" s="49"/>
      <c r="D219" s="49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5.75" customHeight="1">
      <c r="A220" s="103"/>
      <c r="B220" s="104"/>
      <c r="C220" s="49"/>
      <c r="D220" s="49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5.75" customHeight="1">
      <c r="A221" s="103"/>
      <c r="B221" s="104"/>
      <c r="C221" s="49"/>
      <c r="D221" s="49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5.75" customHeight="1">
      <c r="A222" s="103"/>
      <c r="B222" s="104"/>
      <c r="C222" s="49"/>
      <c r="D222" s="49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5.75" customHeight="1">
      <c r="A223" s="103"/>
      <c r="B223" s="104"/>
      <c r="C223" s="49"/>
      <c r="D223" s="49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5.75" customHeight="1">
      <c r="A224" s="103"/>
      <c r="B224" s="104"/>
      <c r="C224" s="49"/>
      <c r="D224" s="49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5.75" customHeight="1">
      <c r="A225" s="103"/>
      <c r="B225" s="104"/>
      <c r="C225" s="49"/>
      <c r="D225" s="49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5.75" customHeight="1">
      <c r="A226" s="103"/>
      <c r="B226" s="104"/>
      <c r="C226" s="49"/>
      <c r="D226" s="49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5.75" customHeight="1">
      <c r="A227" s="103"/>
      <c r="B227" s="104"/>
      <c r="C227" s="49"/>
      <c r="D227" s="49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5.75" customHeight="1">
      <c r="A228" s="103"/>
      <c r="B228" s="104"/>
      <c r="C228" s="49"/>
      <c r="D228" s="49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5.75" customHeight="1">
      <c r="A229" s="103"/>
      <c r="B229" s="104"/>
      <c r="C229" s="49"/>
      <c r="D229" s="49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5.75" customHeight="1">
      <c r="A230" s="103"/>
      <c r="B230" s="104"/>
      <c r="C230" s="49"/>
      <c r="D230" s="49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5.75" customHeight="1">
      <c r="A231" s="103"/>
      <c r="B231" s="104"/>
      <c r="C231" s="49"/>
      <c r="D231" s="49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5.75" customHeight="1">
      <c r="A232" s="103"/>
      <c r="B232" s="104"/>
      <c r="C232" s="49"/>
      <c r="D232" s="49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5.75" customHeight="1">
      <c r="A233" s="103"/>
      <c r="B233" s="104"/>
      <c r="C233" s="49"/>
      <c r="D233" s="49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5.75" customHeight="1">
      <c r="A234" s="103"/>
      <c r="B234" s="104"/>
      <c r="C234" s="49"/>
      <c r="D234" s="49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5.75" customHeight="1">
      <c r="A235" s="103"/>
      <c r="B235" s="104"/>
      <c r="C235" s="49"/>
      <c r="D235" s="49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5.75" customHeight="1">
      <c r="A236" s="103"/>
      <c r="B236" s="104"/>
      <c r="C236" s="49"/>
      <c r="D236" s="49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5.75" customHeight="1">
      <c r="A237" s="103"/>
      <c r="B237" s="104"/>
      <c r="C237" s="49"/>
      <c r="D237" s="49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5.75" customHeight="1">
      <c r="A238" s="103"/>
      <c r="B238" s="104"/>
      <c r="C238" s="49"/>
      <c r="D238" s="49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5.75" customHeight="1">
      <c r="A239" s="103"/>
      <c r="B239" s="104"/>
      <c r="C239" s="49"/>
      <c r="D239" s="49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5.75" customHeight="1">
      <c r="A240" s="103"/>
      <c r="B240" s="104"/>
      <c r="C240" s="49"/>
      <c r="D240" s="49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5.75" customHeight="1">
      <c r="A241" s="103"/>
      <c r="B241" s="104"/>
      <c r="C241" s="49"/>
      <c r="D241" s="49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5.75" customHeight="1">
      <c r="A242" s="103"/>
      <c r="B242" s="104"/>
      <c r="C242" s="49"/>
      <c r="D242" s="49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5.75" customHeight="1">
      <c r="A243" s="103"/>
      <c r="B243" s="104"/>
      <c r="C243" s="49"/>
      <c r="D243" s="49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103"/>
      <c r="B244" s="104"/>
      <c r="C244" s="49"/>
      <c r="D244" s="49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5.75" customHeight="1">
      <c r="A245" s="103"/>
      <c r="B245" s="104"/>
      <c r="C245" s="49"/>
      <c r="D245" s="49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5.75" customHeight="1">
      <c r="A246" s="103"/>
      <c r="B246" s="104"/>
      <c r="C246" s="49"/>
      <c r="D246" s="49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5.75" customHeight="1">
      <c r="A247" s="103"/>
      <c r="B247" s="104"/>
      <c r="C247" s="49"/>
      <c r="D247" s="49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5.75" customHeight="1">
      <c r="A248" s="103"/>
      <c r="B248" s="104"/>
      <c r="C248" s="49"/>
      <c r="D248" s="49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5.75" customHeight="1">
      <c r="A249" s="106"/>
      <c r="B249" s="107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07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07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07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07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07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107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A256" s="106"/>
      <c r="B256" s="107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.75" customHeight="1">
      <c r="A257" s="106"/>
      <c r="B257" s="107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5.75" customHeight="1">
      <c r="A258" s="106"/>
      <c r="B258" s="107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7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>
      <c r="A260" s="106"/>
      <c r="B260" s="107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5.75" customHeight="1">
      <c r="A261" s="106"/>
      <c r="B261" s="107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5.75" customHeight="1">
      <c r="A262" s="106"/>
      <c r="B262" s="107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5.75" customHeight="1">
      <c r="A263" s="106"/>
      <c r="B263" s="107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5.75" customHeight="1">
      <c r="A264" s="106"/>
      <c r="B264" s="107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5.75" customHeight="1">
      <c r="A265" s="106"/>
      <c r="B265" s="107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5.75" customHeight="1">
      <c r="A266" s="106"/>
      <c r="B266" s="107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5.75" customHeight="1">
      <c r="A267" s="106"/>
      <c r="B267" s="107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5.75" customHeight="1">
      <c r="A268" s="106"/>
      <c r="B268" s="107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5.75" customHeight="1">
      <c r="A269" s="106"/>
      <c r="B269" s="107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5.75" customHeight="1">
      <c r="A270" s="106"/>
      <c r="B270" s="107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5.75" customHeight="1">
      <c r="A271" s="106"/>
      <c r="B271" s="107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5.75" customHeight="1">
      <c r="A272" s="106"/>
      <c r="B272" s="107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5.75" customHeight="1">
      <c r="A273" s="106"/>
      <c r="B273" s="107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5.75" customHeight="1">
      <c r="A274" s="106"/>
      <c r="B274" s="107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5.75" customHeight="1">
      <c r="A275" s="106"/>
      <c r="B275" s="107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5.75" customHeight="1">
      <c r="A276" s="106"/>
      <c r="B276" s="107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5.75" customHeight="1">
      <c r="A277" s="106"/>
      <c r="B277" s="107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5.75" customHeight="1">
      <c r="A278" s="106"/>
      <c r="B278" s="107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5.75" customHeight="1">
      <c r="A279" s="106"/>
      <c r="B279" s="107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5.75" customHeight="1">
      <c r="A280" s="106"/>
      <c r="B280" s="107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5.75" customHeight="1">
      <c r="A281" s="106"/>
      <c r="B281" s="107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5.75" customHeight="1">
      <c r="A282" s="106"/>
      <c r="B282" s="107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5.75" customHeight="1">
      <c r="A283" s="106"/>
      <c r="B283" s="107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5.75" customHeight="1">
      <c r="A284" s="106"/>
      <c r="B284" s="107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5.75" customHeight="1">
      <c r="A285" s="106"/>
      <c r="B285" s="107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5.75" customHeight="1">
      <c r="A286" s="106"/>
      <c r="B286" s="107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5.75" customHeight="1">
      <c r="A287" s="106"/>
      <c r="B287" s="107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5.75" customHeight="1">
      <c r="A288" s="106"/>
      <c r="B288" s="107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5.75" customHeight="1">
      <c r="A289" s="106"/>
      <c r="B289" s="107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5.75" customHeight="1">
      <c r="A290" s="106"/>
      <c r="B290" s="107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5.75" customHeight="1">
      <c r="A291" s="106"/>
      <c r="B291" s="107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5.75" customHeight="1">
      <c r="A292" s="106"/>
      <c r="B292" s="107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5.75" customHeight="1">
      <c r="A293" s="106"/>
      <c r="B293" s="107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5.75" customHeight="1">
      <c r="A294" s="106"/>
      <c r="B294" s="107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5.75" customHeight="1">
      <c r="A295" s="106"/>
      <c r="B295" s="107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5.75" customHeight="1">
      <c r="A296" s="106"/>
      <c r="B296" s="107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5.75" customHeight="1">
      <c r="A297" s="106"/>
      <c r="B297" s="107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5.75" customHeight="1">
      <c r="A298" s="106"/>
      <c r="B298" s="107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5.75" customHeight="1">
      <c r="A299" s="106"/>
      <c r="B299" s="107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5.75" customHeight="1">
      <c r="A300" s="106"/>
      <c r="B300" s="107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5.75" customHeight="1">
      <c r="A301" s="106"/>
      <c r="B301" s="107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5.75" customHeight="1">
      <c r="A302" s="106"/>
      <c r="B302" s="107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5.75" customHeight="1">
      <c r="A303" s="106"/>
      <c r="B303" s="107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5.75" customHeight="1">
      <c r="A304" s="106"/>
      <c r="B304" s="107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5.75" customHeight="1">
      <c r="A305" s="106"/>
      <c r="B305" s="107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5.75" customHeight="1">
      <c r="A306" s="106"/>
      <c r="B306" s="107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5.75" customHeight="1">
      <c r="A307" s="106"/>
      <c r="B307" s="107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5.75" customHeight="1">
      <c r="A308" s="106"/>
      <c r="B308" s="107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5.75" customHeight="1">
      <c r="A309" s="106"/>
      <c r="B309" s="107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5.75" customHeight="1">
      <c r="A310" s="106"/>
      <c r="B310" s="107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5.75" customHeight="1">
      <c r="A311" s="106"/>
      <c r="B311" s="107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5.75" customHeight="1">
      <c r="A312" s="106"/>
      <c r="B312" s="107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5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5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5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5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5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5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5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5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5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5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5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5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5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5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5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5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5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5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5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5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5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5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5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5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5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5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5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5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5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5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5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5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5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5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5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5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5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5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5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5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5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5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5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7">
    <mergeCell ref="A1:A2"/>
    <mergeCell ref="B1:B2"/>
    <mergeCell ref="C1:D1"/>
    <mergeCell ref="A3:A4"/>
    <mergeCell ref="B3:B4"/>
    <mergeCell ref="C3:C4"/>
    <mergeCell ref="D3:D4"/>
  </mergeCells>
  <printOptions/>
  <pageMargins bottom="0.748031496062992" footer="0.0" header="0.0" left="0.708661417322835" right="0.708661417322835" top="0.748031496062992"/>
  <pageSetup fitToHeight="0" paperSize="9" orientation="portrait"/>
  <headerFooter>
    <oddFooter>&amp;C&amp;F&amp;RPágina &amp;P de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2025-12-12T23:14:00Z</dcterms:created>
  <dc:creator>bruna tashiro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FEA010B38AC748C49647290A7916C952_12</vt:lpwstr>
  </property>
  <property fmtid="{D5CDD505-2E9C-101B-9397-08002B2CF9AE}" pid="3" name="KSOProductBuildVer">
    <vt:lpwstr>1046-12.2.0.23155</vt:lpwstr>
  </property>
</Properties>
</file>